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home\chrisbermudezr\IchthyoplanktonERFEN\data\raw\biodiversity\"/>
    </mc:Choice>
  </mc:AlternateContent>
  <xr:revisionPtr revIDLastSave="0" documentId="13_ncr:1_{1FA20983-B2B1-42CC-A500-F093EA3DFDA0}" xr6:coauthVersionLast="47" xr6:coauthVersionMax="47" xr10:uidLastSave="{00000000-0000-0000-0000-000000000000}"/>
  <bookViews>
    <workbookView xWindow="-110" yWindow="-110" windowWidth="19420" windowHeight="10300" xr2:uid="{10CC3DD9-AB16-4F0A-82B1-4558F3088B98}"/>
  </bookViews>
  <sheets>
    <sheet name="300 PELAGDEMER " sheetId="3" r:id="rId1"/>
    <sheet name="Hoja1" sheetId="4" r:id="rId2"/>
  </sheets>
  <definedNames>
    <definedName name="_xlnm._FilterDatabase" localSheetId="0" hidden="1">'300 PELAGDEMER '!$A$1:$N$1370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2" i="3"/>
  <c r="J220" i="3"/>
</calcChain>
</file>

<file path=xl/sharedStrings.xml><?xml version="1.0" encoding="utf-8"?>
<sst xmlns="http://schemas.openxmlformats.org/spreadsheetml/2006/main" count="5508" uniqueCount="1736">
  <si>
    <t>CÓDIGO</t>
  </si>
  <si>
    <t>CRUCERO</t>
  </si>
  <si>
    <t>ESTACIÓN</t>
  </si>
  <si>
    <t>LATITUD</t>
  </si>
  <si>
    <t>LONGITUD</t>
  </si>
  <si>
    <t>SALINIDAD</t>
  </si>
  <si>
    <t>TEMPERATURA</t>
  </si>
  <si>
    <r>
      <t>BIOV_ZOO (ml/1000m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</si>
  <si>
    <t>P111</t>
  </si>
  <si>
    <t>PELAG9102</t>
  </si>
  <si>
    <t>P115</t>
  </si>
  <si>
    <t>P1110</t>
  </si>
  <si>
    <t>P1115</t>
  </si>
  <si>
    <t>P1310</t>
  </si>
  <si>
    <t>P1320</t>
  </si>
  <si>
    <t>P1330</t>
  </si>
  <si>
    <t>P141</t>
  </si>
  <si>
    <t>P145</t>
  </si>
  <si>
    <t>P1410</t>
  </si>
  <si>
    <t>P1420</t>
  </si>
  <si>
    <t>P1440</t>
  </si>
  <si>
    <t>P161</t>
  </si>
  <si>
    <t>P165</t>
  </si>
  <si>
    <t>P1610</t>
  </si>
  <si>
    <t>P1620</t>
  </si>
  <si>
    <t>P1640</t>
  </si>
  <si>
    <t>P181</t>
  </si>
  <si>
    <t>P185</t>
  </si>
  <si>
    <t>P1810</t>
  </si>
  <si>
    <t>P1820</t>
  </si>
  <si>
    <t>P1840</t>
  </si>
  <si>
    <t>P191</t>
  </si>
  <si>
    <t>P195</t>
  </si>
  <si>
    <t>P1910</t>
  </si>
  <si>
    <t>P1920</t>
  </si>
  <si>
    <t>P1940</t>
  </si>
  <si>
    <t>P1111</t>
  </si>
  <si>
    <t>P11110</t>
  </si>
  <si>
    <t>P11120</t>
  </si>
  <si>
    <t>P11140</t>
  </si>
  <si>
    <t>P1125</t>
  </si>
  <si>
    <t>P11210</t>
  </si>
  <si>
    <t>P11220</t>
  </si>
  <si>
    <t>P11240</t>
  </si>
  <si>
    <t>P1115A</t>
  </si>
  <si>
    <t>PELAG9103</t>
  </si>
  <si>
    <t>P11110A</t>
  </si>
  <si>
    <t>P11120A</t>
  </si>
  <si>
    <t>P11140A</t>
  </si>
  <si>
    <t>P1121A</t>
  </si>
  <si>
    <t>P1125A</t>
  </si>
  <si>
    <t>P11210A</t>
  </si>
  <si>
    <t>P11220A</t>
  </si>
  <si>
    <t>P11240A</t>
  </si>
  <si>
    <t>P1131</t>
  </si>
  <si>
    <t>P1135</t>
  </si>
  <si>
    <t>P11310</t>
  </si>
  <si>
    <t>P11320</t>
  </si>
  <si>
    <t>P11340</t>
  </si>
  <si>
    <t>P1141</t>
  </si>
  <si>
    <t>P1145</t>
  </si>
  <si>
    <t>P11410</t>
  </si>
  <si>
    <t>P11420</t>
  </si>
  <si>
    <t>P11440</t>
  </si>
  <si>
    <t>P1151</t>
  </si>
  <si>
    <t>P1155</t>
  </si>
  <si>
    <t>P11510</t>
  </si>
  <si>
    <t>P11520</t>
  </si>
  <si>
    <t>P11540</t>
  </si>
  <si>
    <t>P1161</t>
  </si>
  <si>
    <t>P1165</t>
  </si>
  <si>
    <t>P11610</t>
  </si>
  <si>
    <t>P11620</t>
  </si>
  <si>
    <t>P11640</t>
  </si>
  <si>
    <t>P1171</t>
  </si>
  <si>
    <t>P1175</t>
  </si>
  <si>
    <t>P11710</t>
  </si>
  <si>
    <t>P11720</t>
  </si>
  <si>
    <t>P11740</t>
  </si>
  <si>
    <t>P1181</t>
  </si>
  <si>
    <t>P1185</t>
  </si>
  <si>
    <t>P11810</t>
  </si>
  <si>
    <t>P11820</t>
  </si>
  <si>
    <t>P11840</t>
  </si>
  <si>
    <t>P1191</t>
  </si>
  <si>
    <t>P1195</t>
  </si>
  <si>
    <t>P11910</t>
  </si>
  <si>
    <t>P11920</t>
  </si>
  <si>
    <t>P11940</t>
  </si>
  <si>
    <t>P1201</t>
  </si>
  <si>
    <t>P1205</t>
  </si>
  <si>
    <t>P12020</t>
  </si>
  <si>
    <t>P12040</t>
  </si>
  <si>
    <t>P1211</t>
  </si>
  <si>
    <t>P1215</t>
  </si>
  <si>
    <t>P12110</t>
  </si>
  <si>
    <t>P12120</t>
  </si>
  <si>
    <t>P12140</t>
  </si>
  <si>
    <t>P1221</t>
  </si>
  <si>
    <t>P1225</t>
  </si>
  <si>
    <t>P12210</t>
  </si>
  <si>
    <t>P12220</t>
  </si>
  <si>
    <t>P12240</t>
  </si>
  <si>
    <t>P1231</t>
  </si>
  <si>
    <t>P1235</t>
  </si>
  <si>
    <t>P12310</t>
  </si>
  <si>
    <t>P12320</t>
  </si>
  <si>
    <t>P12340</t>
  </si>
  <si>
    <t>P1241</t>
  </si>
  <si>
    <t>P1245</t>
  </si>
  <si>
    <t>P12410</t>
  </si>
  <si>
    <t>P12420</t>
  </si>
  <si>
    <t>P12440</t>
  </si>
  <si>
    <t>P1251</t>
  </si>
  <si>
    <t>P1255</t>
  </si>
  <si>
    <t>P12510</t>
  </si>
  <si>
    <t>P12520</t>
  </si>
  <si>
    <t>P12540</t>
  </si>
  <si>
    <t>P1261</t>
  </si>
  <si>
    <t>P1265</t>
  </si>
  <si>
    <t>P12610</t>
  </si>
  <si>
    <t>P12620</t>
  </si>
  <si>
    <t>P12640</t>
  </si>
  <si>
    <t>P1275</t>
  </si>
  <si>
    <t>P12710</t>
  </si>
  <si>
    <t>P12720</t>
  </si>
  <si>
    <t>P12740</t>
  </si>
  <si>
    <t>P12770</t>
  </si>
  <si>
    <t>P1285</t>
  </si>
  <si>
    <t>P12810</t>
  </si>
  <si>
    <t>P12820</t>
  </si>
  <si>
    <t>P12840</t>
  </si>
  <si>
    <t>P1291</t>
  </si>
  <si>
    <t>P1295</t>
  </si>
  <si>
    <t>P12910</t>
  </si>
  <si>
    <t>P12920</t>
  </si>
  <si>
    <t>P12930</t>
  </si>
  <si>
    <t>P1301</t>
  </si>
  <si>
    <t>P1305</t>
  </si>
  <si>
    <t>P13010</t>
  </si>
  <si>
    <t>P13020</t>
  </si>
  <si>
    <t>P13040</t>
  </si>
  <si>
    <t>P1311</t>
  </si>
  <si>
    <t>P1315</t>
  </si>
  <si>
    <t>P13110</t>
  </si>
  <si>
    <t>P13120</t>
  </si>
  <si>
    <t>P13140</t>
  </si>
  <si>
    <t>P1321</t>
  </si>
  <si>
    <t>P1325</t>
  </si>
  <si>
    <t>P13210</t>
  </si>
  <si>
    <t>P13220</t>
  </si>
  <si>
    <t>P13240</t>
  </si>
  <si>
    <t>P1331</t>
  </si>
  <si>
    <t>P1335</t>
  </si>
  <si>
    <t>P13310</t>
  </si>
  <si>
    <t>P13320</t>
  </si>
  <si>
    <t>P13340</t>
  </si>
  <si>
    <t>P1341</t>
  </si>
  <si>
    <t>P1345</t>
  </si>
  <si>
    <t>P13410</t>
  </si>
  <si>
    <t>P13420</t>
  </si>
  <si>
    <t>P13440</t>
  </si>
  <si>
    <t>P1355</t>
  </si>
  <si>
    <t>P13510</t>
  </si>
  <si>
    <t>P13520</t>
  </si>
  <si>
    <t>P13540</t>
  </si>
  <si>
    <t>P211</t>
  </si>
  <si>
    <t>PELAG9109</t>
  </si>
  <si>
    <t>P215</t>
  </si>
  <si>
    <t>P2110</t>
  </si>
  <si>
    <t>P2120</t>
  </si>
  <si>
    <t>P235</t>
  </si>
  <si>
    <t>P2310</t>
  </si>
  <si>
    <t>P2320</t>
  </si>
  <si>
    <t>P2330</t>
  </si>
  <si>
    <t>P241</t>
  </si>
  <si>
    <t>P245</t>
  </si>
  <si>
    <t>P2420</t>
  </si>
  <si>
    <t>P2440</t>
  </si>
  <si>
    <t>P251</t>
  </si>
  <si>
    <t>P255</t>
  </si>
  <si>
    <t>P2510</t>
  </si>
  <si>
    <t>P2520</t>
  </si>
  <si>
    <t>P2540</t>
  </si>
  <si>
    <t>P265</t>
  </si>
  <si>
    <t>P2610</t>
  </si>
  <si>
    <t>P2620</t>
  </si>
  <si>
    <t>P2640</t>
  </si>
  <si>
    <t>P271</t>
  </si>
  <si>
    <t>P275</t>
  </si>
  <si>
    <t>P2710</t>
  </si>
  <si>
    <t>P2740</t>
  </si>
  <si>
    <t>P281</t>
  </si>
  <si>
    <t>P285</t>
  </si>
  <si>
    <t>P2810</t>
  </si>
  <si>
    <t>P2820</t>
  </si>
  <si>
    <t>P2840</t>
  </si>
  <si>
    <t>P291</t>
  </si>
  <si>
    <t>P295</t>
  </si>
  <si>
    <t>P2910</t>
  </si>
  <si>
    <t>P2920</t>
  </si>
  <si>
    <t>P2101</t>
  </si>
  <si>
    <t>P2105</t>
  </si>
  <si>
    <t>P21010</t>
  </si>
  <si>
    <t>P21020</t>
  </si>
  <si>
    <t>P21040</t>
  </si>
  <si>
    <t>P2111</t>
  </si>
  <si>
    <t>P2115</t>
  </si>
  <si>
    <t>P21110</t>
  </si>
  <si>
    <t>P21120</t>
  </si>
  <si>
    <t>P2121</t>
  </si>
  <si>
    <t>P2125</t>
  </si>
  <si>
    <t>P21210</t>
  </si>
  <si>
    <t>P21220</t>
  </si>
  <si>
    <t>P21240</t>
  </si>
  <si>
    <t>P2131</t>
  </si>
  <si>
    <t>P2135</t>
  </si>
  <si>
    <t>P21310</t>
  </si>
  <si>
    <t>P21320</t>
  </si>
  <si>
    <t>P21340</t>
  </si>
  <si>
    <t>P2141</t>
  </si>
  <si>
    <t>P2145</t>
  </si>
  <si>
    <t>P21410</t>
  </si>
  <si>
    <t>P21420</t>
  </si>
  <si>
    <t>P21440</t>
  </si>
  <si>
    <t>P2151</t>
  </si>
  <si>
    <t>P2155</t>
  </si>
  <si>
    <t>P21510</t>
  </si>
  <si>
    <t>P21520</t>
  </si>
  <si>
    <t>P21540</t>
  </si>
  <si>
    <t>P2161</t>
  </si>
  <si>
    <t>P2165</t>
  </si>
  <si>
    <t>P21610</t>
  </si>
  <si>
    <t>P21620</t>
  </si>
  <si>
    <t>P21640</t>
  </si>
  <si>
    <t>P2171</t>
  </si>
  <si>
    <t>P2175</t>
  </si>
  <si>
    <t>P21710</t>
  </si>
  <si>
    <t>P21720</t>
  </si>
  <si>
    <t>P21740</t>
  </si>
  <si>
    <t>P2181</t>
  </si>
  <si>
    <t>P2185</t>
  </si>
  <si>
    <t>P21810</t>
  </si>
  <si>
    <t>P21820</t>
  </si>
  <si>
    <t>P21840</t>
  </si>
  <si>
    <t>P2191</t>
  </si>
  <si>
    <t>P2195</t>
  </si>
  <si>
    <t>P21910</t>
  </si>
  <si>
    <t>P21920</t>
  </si>
  <si>
    <t>P21940</t>
  </si>
  <si>
    <t>P2201</t>
  </si>
  <si>
    <t>P2205</t>
  </si>
  <si>
    <t>P22010</t>
  </si>
  <si>
    <t>P22020</t>
  </si>
  <si>
    <t>P22030</t>
  </si>
  <si>
    <t>P2211</t>
  </si>
  <si>
    <t>P2215</t>
  </si>
  <si>
    <t>P22110</t>
  </si>
  <si>
    <t>P22120</t>
  </si>
  <si>
    <t>P22130</t>
  </si>
  <si>
    <t>P2221</t>
  </si>
  <si>
    <t>P2225</t>
  </si>
  <si>
    <t>P22210</t>
  </si>
  <si>
    <t>P22220</t>
  </si>
  <si>
    <t>P22240</t>
  </si>
  <si>
    <t>P2231</t>
  </si>
  <si>
    <t>P2235</t>
  </si>
  <si>
    <t>P22310</t>
  </si>
  <si>
    <t>P22320</t>
  </si>
  <si>
    <t>P22340</t>
  </si>
  <si>
    <t>P2241</t>
  </si>
  <si>
    <t>P2245</t>
  </si>
  <si>
    <t>P22410</t>
  </si>
  <si>
    <t>P22420</t>
  </si>
  <si>
    <t>P22430</t>
  </si>
  <si>
    <t>P2251</t>
  </si>
  <si>
    <t>P2255</t>
  </si>
  <si>
    <t>P22510</t>
  </si>
  <si>
    <t>P22520</t>
  </si>
  <si>
    <t>P22530</t>
  </si>
  <si>
    <t>P2261</t>
  </si>
  <si>
    <t>P2265</t>
  </si>
  <si>
    <t>P22610</t>
  </si>
  <si>
    <t>P22620</t>
  </si>
  <si>
    <t>P22640</t>
  </si>
  <si>
    <t>P2271</t>
  </si>
  <si>
    <t>P2275</t>
  </si>
  <si>
    <t>P22710</t>
  </si>
  <si>
    <t>P22720</t>
  </si>
  <si>
    <t>P22740</t>
  </si>
  <si>
    <t>P2281</t>
  </si>
  <si>
    <t>P2285</t>
  </si>
  <si>
    <t>P22810</t>
  </si>
  <si>
    <t>P22820</t>
  </si>
  <si>
    <t>P22840</t>
  </si>
  <si>
    <t>P2291</t>
  </si>
  <si>
    <t>P2295</t>
  </si>
  <si>
    <t>P22910</t>
  </si>
  <si>
    <t>P22920</t>
  </si>
  <si>
    <t>P22930</t>
  </si>
  <si>
    <t>P2301</t>
  </si>
  <si>
    <t>P2305</t>
  </si>
  <si>
    <t>P23010</t>
  </si>
  <si>
    <t>P23020</t>
  </si>
  <si>
    <t>P23030</t>
  </si>
  <si>
    <t>P2311</t>
  </si>
  <si>
    <t>P2315</t>
  </si>
  <si>
    <t>P23110</t>
  </si>
  <si>
    <t>P23120</t>
  </si>
  <si>
    <t>P23130</t>
  </si>
  <si>
    <t>P2321</t>
  </si>
  <si>
    <t>P2325</t>
  </si>
  <si>
    <t>P23210</t>
  </si>
  <si>
    <t>P23220</t>
  </si>
  <si>
    <t>P2331</t>
  </si>
  <si>
    <t>P2335</t>
  </si>
  <si>
    <t>P23310</t>
  </si>
  <si>
    <t>P23320</t>
  </si>
  <si>
    <t>P2341</t>
  </si>
  <si>
    <t>P2345</t>
  </si>
  <si>
    <t>P23410</t>
  </si>
  <si>
    <t>P23420</t>
  </si>
  <si>
    <t>P23440</t>
  </si>
  <si>
    <t>P2351</t>
  </si>
  <si>
    <t>P2355</t>
  </si>
  <si>
    <t>P23510</t>
  </si>
  <si>
    <t>P23520</t>
  </si>
  <si>
    <t>P23540</t>
  </si>
  <si>
    <t>P311</t>
  </si>
  <si>
    <t>PELAG9112</t>
  </si>
  <si>
    <t>P315</t>
  </si>
  <si>
    <t>P3110</t>
  </si>
  <si>
    <t>P3115</t>
  </si>
  <si>
    <t>P331</t>
  </si>
  <si>
    <t>P335</t>
  </si>
  <si>
    <t>P3310</t>
  </si>
  <si>
    <t>P3320</t>
  </si>
  <si>
    <t>P3330</t>
  </si>
  <si>
    <t>P351</t>
  </si>
  <si>
    <t>P355</t>
  </si>
  <si>
    <t>P3510</t>
  </si>
  <si>
    <t>P3520</t>
  </si>
  <si>
    <t>P3540</t>
  </si>
  <si>
    <t>P361</t>
  </si>
  <si>
    <t>P365</t>
  </si>
  <si>
    <t>P3610</t>
  </si>
  <si>
    <t>P3620</t>
  </si>
  <si>
    <t>P3640</t>
  </si>
  <si>
    <t>P381</t>
  </si>
  <si>
    <t>P385</t>
  </si>
  <si>
    <t>P3810</t>
  </si>
  <si>
    <t>P3820</t>
  </si>
  <si>
    <t>P3840</t>
  </si>
  <si>
    <t>P391</t>
  </si>
  <si>
    <t>P395</t>
  </si>
  <si>
    <t>P3910</t>
  </si>
  <si>
    <t>P3920</t>
  </si>
  <si>
    <t>P3940</t>
  </si>
  <si>
    <t>P3111</t>
  </si>
  <si>
    <t>P31110</t>
  </si>
  <si>
    <t>P31120</t>
  </si>
  <si>
    <t>P31130</t>
  </si>
  <si>
    <t>P3121</t>
  </si>
  <si>
    <t>P3125</t>
  </si>
  <si>
    <t>P31210</t>
  </si>
  <si>
    <t>P31220</t>
  </si>
  <si>
    <t>P31240</t>
  </si>
  <si>
    <t>P3135</t>
  </si>
  <si>
    <t>P3141</t>
  </si>
  <si>
    <t>P3145</t>
  </si>
  <si>
    <t>P31410</t>
  </si>
  <si>
    <t>P31420</t>
  </si>
  <si>
    <t>P31430</t>
  </si>
  <si>
    <t>P3151</t>
  </si>
  <si>
    <t>P3155</t>
  </si>
  <si>
    <t>P31510</t>
  </si>
  <si>
    <t>P31520</t>
  </si>
  <si>
    <t>P31530</t>
  </si>
  <si>
    <t>P3161</t>
  </si>
  <si>
    <t>P3171</t>
  </si>
  <si>
    <t>P3175</t>
  </si>
  <si>
    <t>P31710</t>
  </si>
  <si>
    <t>P31720</t>
  </si>
  <si>
    <t>P31740</t>
  </si>
  <si>
    <t>P3185</t>
  </si>
  <si>
    <t>P31810</t>
  </si>
  <si>
    <t>P31820</t>
  </si>
  <si>
    <t>P31840</t>
  </si>
  <si>
    <t>P3191</t>
  </si>
  <si>
    <t>P3195</t>
  </si>
  <si>
    <t>P31910</t>
  </si>
  <si>
    <t>P31920</t>
  </si>
  <si>
    <t>P31940</t>
  </si>
  <si>
    <t>P3201</t>
  </si>
  <si>
    <t>P3205</t>
  </si>
  <si>
    <t>P32010</t>
  </si>
  <si>
    <t>P32020</t>
  </si>
  <si>
    <t>P32040</t>
  </si>
  <si>
    <t>P3211</t>
  </si>
  <si>
    <t>P3215</t>
  </si>
  <si>
    <t>P32110</t>
  </si>
  <si>
    <t>P32120</t>
  </si>
  <si>
    <t>P32140</t>
  </si>
  <si>
    <t>P3225</t>
  </si>
  <si>
    <t>P32210</t>
  </si>
  <si>
    <t>P32220</t>
  </si>
  <si>
    <t>P32240</t>
  </si>
  <si>
    <t>P3235</t>
  </si>
  <si>
    <t>P32310</t>
  </si>
  <si>
    <t>P32320</t>
  </si>
  <si>
    <t>P32340</t>
  </si>
  <si>
    <t>P3241</t>
  </si>
  <si>
    <t>P3245</t>
  </si>
  <si>
    <t>P32410</t>
  </si>
  <si>
    <t>P32420</t>
  </si>
  <si>
    <t>P32440</t>
  </si>
  <si>
    <t>P3251</t>
  </si>
  <si>
    <t>P3255</t>
  </si>
  <si>
    <t>P32510</t>
  </si>
  <si>
    <t>P32520</t>
  </si>
  <si>
    <t>P32540</t>
  </si>
  <si>
    <t>P3261</t>
  </si>
  <si>
    <t>P3265</t>
  </si>
  <si>
    <t>P32610</t>
  </si>
  <si>
    <t>P32620</t>
  </si>
  <si>
    <t>P32640</t>
  </si>
  <si>
    <t>P3271</t>
  </si>
  <si>
    <t>P3275</t>
  </si>
  <si>
    <t>P32710</t>
  </si>
  <si>
    <t>P32720</t>
  </si>
  <si>
    <t>P32740</t>
  </si>
  <si>
    <t>P3281</t>
  </si>
  <si>
    <t>P3285</t>
  </si>
  <si>
    <t>P32810</t>
  </si>
  <si>
    <t>P32820</t>
  </si>
  <si>
    <t>P32830</t>
  </si>
  <si>
    <t>P3291</t>
  </si>
  <si>
    <t>P3295</t>
  </si>
  <si>
    <t>P32910</t>
  </si>
  <si>
    <t>P32920</t>
  </si>
  <si>
    <t>P32940</t>
  </si>
  <si>
    <t>P3301</t>
  </si>
  <si>
    <t>P3305</t>
  </si>
  <si>
    <t>P33010</t>
  </si>
  <si>
    <t>P33020</t>
  </si>
  <si>
    <t>P33030</t>
  </si>
  <si>
    <t>P3311</t>
  </si>
  <si>
    <t>P3315</t>
  </si>
  <si>
    <t>P33110</t>
  </si>
  <si>
    <t>P33120</t>
  </si>
  <si>
    <t>P33140</t>
  </si>
  <si>
    <t>P3321</t>
  </si>
  <si>
    <t>P3325</t>
  </si>
  <si>
    <t>P33210</t>
  </si>
  <si>
    <t>P33220</t>
  </si>
  <si>
    <t>P33240</t>
  </si>
  <si>
    <t>P3331</t>
  </si>
  <si>
    <t>P3335</t>
  </si>
  <si>
    <t>P33310</t>
  </si>
  <si>
    <t>P33320</t>
  </si>
  <si>
    <t>P33340</t>
  </si>
  <si>
    <t>P3341</t>
  </si>
  <si>
    <t>P3345</t>
  </si>
  <si>
    <t>P33410</t>
  </si>
  <si>
    <t>P33420</t>
  </si>
  <si>
    <t>P33430</t>
  </si>
  <si>
    <t>P3351</t>
  </si>
  <si>
    <t>P3355</t>
  </si>
  <si>
    <t>P33510</t>
  </si>
  <si>
    <t>P33520</t>
  </si>
  <si>
    <t>P33540</t>
  </si>
  <si>
    <t>P417A</t>
  </si>
  <si>
    <t>PELAG9301</t>
  </si>
  <si>
    <t>P4171</t>
  </si>
  <si>
    <t>P4175</t>
  </si>
  <si>
    <t>P41710</t>
  </si>
  <si>
    <t>P418A</t>
  </si>
  <si>
    <t>P418B</t>
  </si>
  <si>
    <t>P4181</t>
  </si>
  <si>
    <t>P4185</t>
  </si>
  <si>
    <t>P41810</t>
  </si>
  <si>
    <t>P4191</t>
  </si>
  <si>
    <t>P4195</t>
  </si>
  <si>
    <t>P420A</t>
  </si>
  <si>
    <t>P420B</t>
  </si>
  <si>
    <t>P420C</t>
  </si>
  <si>
    <t>P421A</t>
  </si>
  <si>
    <t>P421B</t>
  </si>
  <si>
    <t>P421D</t>
  </si>
  <si>
    <t>P4211</t>
  </si>
  <si>
    <t>P4215</t>
  </si>
  <si>
    <t>P4221</t>
  </si>
  <si>
    <t>P4225</t>
  </si>
  <si>
    <t>P42210</t>
  </si>
  <si>
    <t>P423A</t>
  </si>
  <si>
    <t>P423B</t>
  </si>
  <si>
    <t>P4231</t>
  </si>
  <si>
    <t>P4235</t>
  </si>
  <si>
    <t>P424A</t>
  </si>
  <si>
    <t>P4241</t>
  </si>
  <si>
    <t>P4245</t>
  </si>
  <si>
    <t>P42410</t>
  </si>
  <si>
    <t>P4251</t>
  </si>
  <si>
    <t>P4255</t>
  </si>
  <si>
    <t>P42510</t>
  </si>
  <si>
    <t>P4261</t>
  </si>
  <si>
    <t>P4265</t>
  </si>
  <si>
    <t>P42646388</t>
  </si>
  <si>
    <t>P4271</t>
  </si>
  <si>
    <t>P4275</t>
  </si>
  <si>
    <t>P428B</t>
  </si>
  <si>
    <t>P428C</t>
  </si>
  <si>
    <t>P4281</t>
  </si>
  <si>
    <t>P4285</t>
  </si>
  <si>
    <t>P4291</t>
  </si>
  <si>
    <t>P4301</t>
  </si>
  <si>
    <t>P4305</t>
  </si>
  <si>
    <t>P43010</t>
  </si>
  <si>
    <t>P4311</t>
  </si>
  <si>
    <t>P432A</t>
  </si>
  <si>
    <t>P432B</t>
  </si>
  <si>
    <t>P432E</t>
  </si>
  <si>
    <t>P4321</t>
  </si>
  <si>
    <t>P4325</t>
  </si>
  <si>
    <t>P43210</t>
  </si>
  <si>
    <t>P4331</t>
  </si>
  <si>
    <t>P4335</t>
  </si>
  <si>
    <t>P43310</t>
  </si>
  <si>
    <t>P4341</t>
  </si>
  <si>
    <t>P4355</t>
  </si>
  <si>
    <t>P43510</t>
  </si>
  <si>
    <t>P4 GE1 N</t>
  </si>
  <si>
    <t>P4GE2 N</t>
  </si>
  <si>
    <t>P4GE1</t>
  </si>
  <si>
    <t>P4GE2</t>
  </si>
  <si>
    <t>P4GO2</t>
  </si>
  <si>
    <t>P4GO1</t>
  </si>
  <si>
    <t>P4GS</t>
  </si>
  <si>
    <t>P541</t>
  </si>
  <si>
    <t>PELAG9311</t>
  </si>
  <si>
    <t>P545</t>
  </si>
  <si>
    <t>P5410</t>
  </si>
  <si>
    <t>P551</t>
  </si>
  <si>
    <t>P561</t>
  </si>
  <si>
    <t>P565</t>
  </si>
  <si>
    <t>P5610</t>
  </si>
  <si>
    <t>P571</t>
  </si>
  <si>
    <t>P58A</t>
  </si>
  <si>
    <t>P581</t>
  </si>
  <si>
    <t>P585</t>
  </si>
  <si>
    <t>P5810</t>
  </si>
  <si>
    <t>P591</t>
  </si>
  <si>
    <t>P5101</t>
  </si>
  <si>
    <t>P5105</t>
  </si>
  <si>
    <t>P5111</t>
  </si>
  <si>
    <t>P5115</t>
  </si>
  <si>
    <t>P51112A</t>
  </si>
  <si>
    <t>P5121</t>
  </si>
  <si>
    <t>P5125</t>
  </si>
  <si>
    <t>P51210</t>
  </si>
  <si>
    <t>P5131</t>
  </si>
  <si>
    <t>P5135</t>
  </si>
  <si>
    <t>P5141</t>
  </si>
  <si>
    <t>P5145</t>
  </si>
  <si>
    <t>P5151</t>
  </si>
  <si>
    <t>P5155</t>
  </si>
  <si>
    <t>P5161</t>
  </si>
  <si>
    <t>P5165</t>
  </si>
  <si>
    <t>P5171</t>
  </si>
  <si>
    <t>P5175</t>
  </si>
  <si>
    <t>P51710</t>
  </si>
  <si>
    <t>P518A</t>
  </si>
  <si>
    <t>P518B</t>
  </si>
  <si>
    <t>P5181</t>
  </si>
  <si>
    <t>P5185</t>
  </si>
  <si>
    <t>P51810</t>
  </si>
  <si>
    <t>P5191</t>
  </si>
  <si>
    <t>P5195</t>
  </si>
  <si>
    <t>P520A</t>
  </si>
  <si>
    <t>P520B</t>
  </si>
  <si>
    <t>P520C</t>
  </si>
  <si>
    <t>P520D</t>
  </si>
  <si>
    <t>P521A</t>
  </si>
  <si>
    <t>P521B</t>
  </si>
  <si>
    <t>P521C</t>
  </si>
  <si>
    <t>P521D</t>
  </si>
  <si>
    <t>P5211</t>
  </si>
  <si>
    <t>P5215</t>
  </si>
  <si>
    <t>P5221</t>
  </si>
  <si>
    <t>P5225</t>
  </si>
  <si>
    <t>P52210</t>
  </si>
  <si>
    <t>P523A</t>
  </si>
  <si>
    <t>P523B</t>
  </si>
  <si>
    <t>P5231</t>
  </si>
  <si>
    <t>P5235</t>
  </si>
  <si>
    <t>P524A</t>
  </si>
  <si>
    <t>P5241</t>
  </si>
  <si>
    <t>P5245</t>
  </si>
  <si>
    <t>P52410</t>
  </si>
  <si>
    <t>P5251</t>
  </si>
  <si>
    <t>P5255</t>
  </si>
  <si>
    <t>P52510</t>
  </si>
  <si>
    <t>P5261</t>
  </si>
  <si>
    <t>P5265</t>
  </si>
  <si>
    <t>P527A</t>
  </si>
  <si>
    <t>P527B</t>
  </si>
  <si>
    <t>P5271</t>
  </si>
  <si>
    <t>P5275</t>
  </si>
  <si>
    <t>P528A</t>
  </si>
  <si>
    <t>P528B</t>
  </si>
  <si>
    <t>P528C</t>
  </si>
  <si>
    <t>P5281</t>
  </si>
  <si>
    <t>P5285</t>
  </si>
  <si>
    <t>P5291</t>
  </si>
  <si>
    <t>P5301</t>
  </si>
  <si>
    <t>P5305</t>
  </si>
  <si>
    <t>P53010</t>
  </si>
  <si>
    <t>P5311</t>
  </si>
  <si>
    <t>P532A</t>
  </si>
  <si>
    <t>P532B</t>
  </si>
  <si>
    <t>P532C</t>
  </si>
  <si>
    <t>P532D</t>
  </si>
  <si>
    <t>P532E</t>
  </si>
  <si>
    <t>P5321</t>
  </si>
  <si>
    <t>P5321dia</t>
  </si>
  <si>
    <t>P5325</t>
  </si>
  <si>
    <t>P53210</t>
  </si>
  <si>
    <t>P5331</t>
  </si>
  <si>
    <t>P5335</t>
  </si>
  <si>
    <t>P53310</t>
  </si>
  <si>
    <t>P5341</t>
  </si>
  <si>
    <t>P5352</t>
  </si>
  <si>
    <t>P5355</t>
  </si>
  <si>
    <t>P53510</t>
  </si>
  <si>
    <t>P5 GE1 N</t>
  </si>
  <si>
    <t>P5GE2 N</t>
  </si>
  <si>
    <t>P5GE1</t>
  </si>
  <si>
    <t>P5GE2</t>
  </si>
  <si>
    <t>P5GO2</t>
  </si>
  <si>
    <t>P5GO1</t>
  </si>
  <si>
    <t>P5GS</t>
  </si>
  <si>
    <t>P641</t>
  </si>
  <si>
    <t>PELAG9404</t>
  </si>
  <si>
    <t>P645</t>
  </si>
  <si>
    <t>P6410</t>
  </si>
  <si>
    <t>P651</t>
  </si>
  <si>
    <t>P6610</t>
  </si>
  <si>
    <t>P68A</t>
  </si>
  <si>
    <t>P681</t>
  </si>
  <si>
    <t>P685</t>
  </si>
  <si>
    <t>P6810</t>
  </si>
  <si>
    <t>P695</t>
  </si>
  <si>
    <t>P6101</t>
  </si>
  <si>
    <t>P6105</t>
  </si>
  <si>
    <t>P6111</t>
  </si>
  <si>
    <t>P6115</t>
  </si>
  <si>
    <t>P6121</t>
  </si>
  <si>
    <t>P6125</t>
  </si>
  <si>
    <t>P6131</t>
  </si>
  <si>
    <t>P6135</t>
  </si>
  <si>
    <t>P6141</t>
  </si>
  <si>
    <t>P6145</t>
  </si>
  <si>
    <t>P6151</t>
  </si>
  <si>
    <t>P6155</t>
  </si>
  <si>
    <t>P61516A</t>
  </si>
  <si>
    <t>P6161</t>
  </si>
  <si>
    <t>P6165</t>
  </si>
  <si>
    <t>P617A</t>
  </si>
  <si>
    <t>P6171</t>
  </si>
  <si>
    <t>P61710</t>
  </si>
  <si>
    <t>P618A</t>
  </si>
  <si>
    <t>P618B</t>
  </si>
  <si>
    <t>P6181</t>
  </si>
  <si>
    <t>P6185</t>
  </si>
  <si>
    <t>P61810</t>
  </si>
  <si>
    <t>P6191</t>
  </si>
  <si>
    <t>P6195</t>
  </si>
  <si>
    <t>P621A</t>
  </si>
  <si>
    <t>P621B</t>
  </si>
  <si>
    <t>P6211</t>
  </si>
  <si>
    <t>P6215</t>
  </si>
  <si>
    <t>P62110</t>
  </si>
  <si>
    <t>P6221</t>
  </si>
  <si>
    <t>P6225</t>
  </si>
  <si>
    <t>P62210</t>
  </si>
  <si>
    <t>P623A</t>
  </si>
  <si>
    <t>P623B</t>
  </si>
  <si>
    <t>P6231</t>
  </si>
  <si>
    <t>P6241</t>
  </si>
  <si>
    <t>P6245</t>
  </si>
  <si>
    <t>P62410</t>
  </si>
  <si>
    <t>P6251</t>
  </si>
  <si>
    <t>P6255</t>
  </si>
  <si>
    <t>P62510</t>
  </si>
  <si>
    <t>P6261</t>
  </si>
  <si>
    <t>P6265</t>
  </si>
  <si>
    <t>P627A</t>
  </si>
  <si>
    <t>P627B</t>
  </si>
  <si>
    <t>P6271</t>
  </si>
  <si>
    <t>P6275</t>
  </si>
  <si>
    <t>P628A</t>
  </si>
  <si>
    <t>P628B</t>
  </si>
  <si>
    <t>P628C</t>
  </si>
  <si>
    <t>P6281</t>
  </si>
  <si>
    <t>P6285</t>
  </si>
  <si>
    <t>P6291</t>
  </si>
  <si>
    <t>P6301</t>
  </si>
  <si>
    <t>P63010</t>
  </si>
  <si>
    <t>P6311</t>
  </si>
  <si>
    <t>P632A</t>
  </si>
  <si>
    <t>P632B</t>
  </si>
  <si>
    <t>P632C</t>
  </si>
  <si>
    <t>P632D</t>
  </si>
  <si>
    <t>P632E</t>
  </si>
  <si>
    <t>P6321</t>
  </si>
  <si>
    <t>P6325</t>
  </si>
  <si>
    <t>P63210</t>
  </si>
  <si>
    <t>P6331</t>
  </si>
  <si>
    <t>P6335</t>
  </si>
  <si>
    <t>P6341</t>
  </si>
  <si>
    <t>P6352</t>
  </si>
  <si>
    <t>P6355</t>
  </si>
  <si>
    <t>P63510</t>
  </si>
  <si>
    <t>P6GE1 N</t>
  </si>
  <si>
    <t>P6GE2 N</t>
  </si>
  <si>
    <t>P6GE1</t>
  </si>
  <si>
    <t>P6GE2</t>
  </si>
  <si>
    <t>P6G2</t>
  </si>
  <si>
    <t>P6G1</t>
  </si>
  <si>
    <t>P6GS</t>
  </si>
  <si>
    <t>P741</t>
  </si>
  <si>
    <t>PELAG9407</t>
  </si>
  <si>
    <t>P761</t>
  </si>
  <si>
    <t>P7610</t>
  </si>
  <si>
    <t>P771</t>
  </si>
  <si>
    <t>P78A</t>
  </si>
  <si>
    <t>P7810</t>
  </si>
  <si>
    <t>P791</t>
  </si>
  <si>
    <t>P795</t>
  </si>
  <si>
    <t>P7101</t>
  </si>
  <si>
    <t>P7105</t>
  </si>
  <si>
    <t>P71010</t>
  </si>
  <si>
    <t>P7111</t>
  </si>
  <si>
    <t>P7115</t>
  </si>
  <si>
    <t>P7121</t>
  </si>
  <si>
    <t>P7125</t>
  </si>
  <si>
    <t>P71210</t>
  </si>
  <si>
    <t>P7131</t>
  </si>
  <si>
    <t>P7135</t>
  </si>
  <si>
    <t>P7141</t>
  </si>
  <si>
    <t>P7145</t>
  </si>
  <si>
    <t>P71410</t>
  </si>
  <si>
    <t>P7151</t>
  </si>
  <si>
    <t>P7155</t>
  </si>
  <si>
    <t>P7161</t>
  </si>
  <si>
    <t>P7165</t>
  </si>
  <si>
    <t>P7171</t>
  </si>
  <si>
    <t>P7175</t>
  </si>
  <si>
    <t>P71710</t>
  </si>
  <si>
    <t>P718A</t>
  </si>
  <si>
    <t>P718B</t>
  </si>
  <si>
    <t>P7181</t>
  </si>
  <si>
    <t>P7185</t>
  </si>
  <si>
    <t>P71810</t>
  </si>
  <si>
    <t>P7191</t>
  </si>
  <si>
    <t>P7195</t>
  </si>
  <si>
    <t>P720A</t>
  </si>
  <si>
    <t>P720B</t>
  </si>
  <si>
    <t>P720C</t>
  </si>
  <si>
    <t>P720D</t>
  </si>
  <si>
    <t>P721A</t>
  </si>
  <si>
    <t>P721B</t>
  </si>
  <si>
    <t>P721C</t>
  </si>
  <si>
    <t>P7211</t>
  </si>
  <si>
    <t>P7215</t>
  </si>
  <si>
    <t>P72110</t>
  </si>
  <si>
    <t>P7221</t>
  </si>
  <si>
    <t>P7225</t>
  </si>
  <si>
    <t>P72210</t>
  </si>
  <si>
    <t>P723B</t>
  </si>
  <si>
    <t>P7231</t>
  </si>
  <si>
    <t>P7235</t>
  </si>
  <si>
    <t>P7241</t>
  </si>
  <si>
    <t>P7245</t>
  </si>
  <si>
    <t>P72410</t>
  </si>
  <si>
    <t>P7251</t>
  </si>
  <si>
    <t>P7255</t>
  </si>
  <si>
    <t>P72510</t>
  </si>
  <si>
    <t>P7261</t>
  </si>
  <si>
    <t>P7265</t>
  </si>
  <si>
    <t>P727A</t>
  </si>
  <si>
    <t>P7275</t>
  </si>
  <si>
    <t>P728A</t>
  </si>
  <si>
    <t>P728B</t>
  </si>
  <si>
    <t>P728C</t>
  </si>
  <si>
    <t>P728D</t>
  </si>
  <si>
    <t>P7281</t>
  </si>
  <si>
    <t>P7285</t>
  </si>
  <si>
    <t>P7291</t>
  </si>
  <si>
    <t>P7301</t>
  </si>
  <si>
    <t>P7305</t>
  </si>
  <si>
    <t>P73010</t>
  </si>
  <si>
    <t>P7311</t>
  </si>
  <si>
    <t>P732A</t>
  </si>
  <si>
    <t>P732B</t>
  </si>
  <si>
    <t>P732D</t>
  </si>
  <si>
    <t>P732E</t>
  </si>
  <si>
    <t>P7321</t>
  </si>
  <si>
    <t>P7325</t>
  </si>
  <si>
    <t>P73210</t>
  </si>
  <si>
    <t>P7331</t>
  </si>
  <si>
    <t>P7335</t>
  </si>
  <si>
    <t>P73310</t>
  </si>
  <si>
    <t>P7341</t>
  </si>
  <si>
    <t>P7351</t>
  </si>
  <si>
    <t>P7355</t>
  </si>
  <si>
    <t>P73510</t>
  </si>
  <si>
    <t>P7GE1N</t>
  </si>
  <si>
    <t>P7GE2N</t>
  </si>
  <si>
    <t>P7GE1</t>
  </si>
  <si>
    <t>P7GE2</t>
  </si>
  <si>
    <t>P7G2</t>
  </si>
  <si>
    <t>P7G1</t>
  </si>
  <si>
    <t>P7GS</t>
  </si>
  <si>
    <t>P845</t>
  </si>
  <si>
    <t>PELAG9412</t>
  </si>
  <si>
    <t>P8410</t>
  </si>
  <si>
    <t>P851</t>
  </si>
  <si>
    <t>P861</t>
  </si>
  <si>
    <t>P865</t>
  </si>
  <si>
    <t>P8610</t>
  </si>
  <si>
    <t>P871</t>
  </si>
  <si>
    <t>P881</t>
  </si>
  <si>
    <t>P885</t>
  </si>
  <si>
    <t>P8810</t>
  </si>
  <si>
    <t>P891</t>
  </si>
  <si>
    <t>P895</t>
  </si>
  <si>
    <t>P8101</t>
  </si>
  <si>
    <t>P8105</t>
  </si>
  <si>
    <t>P81010</t>
  </si>
  <si>
    <t>P8111</t>
  </si>
  <si>
    <t>P8115</t>
  </si>
  <si>
    <t>P8121</t>
  </si>
  <si>
    <t>P8125</t>
  </si>
  <si>
    <t>P81210</t>
  </si>
  <si>
    <t>P8131</t>
  </si>
  <si>
    <t>P8135</t>
  </si>
  <si>
    <t>P8141</t>
  </si>
  <si>
    <t>P8145</t>
  </si>
  <si>
    <t>P81410</t>
  </si>
  <si>
    <t>P8151</t>
  </si>
  <si>
    <t>P8155</t>
  </si>
  <si>
    <t>P8161</t>
  </si>
  <si>
    <t>P8165</t>
  </si>
  <si>
    <t>P8171</t>
  </si>
  <si>
    <t>P8175</t>
  </si>
  <si>
    <t>P81710</t>
  </si>
  <si>
    <t>P818A</t>
  </si>
  <si>
    <t>P818B</t>
  </si>
  <si>
    <t>P8181</t>
  </si>
  <si>
    <t>P8185</t>
  </si>
  <si>
    <t>P81810</t>
  </si>
  <si>
    <t>P8191</t>
  </si>
  <si>
    <t>P8195</t>
  </si>
  <si>
    <t>P820B</t>
  </si>
  <si>
    <t>P821A</t>
  </si>
  <si>
    <t>P821B</t>
  </si>
  <si>
    <t>P821C</t>
  </si>
  <si>
    <t>P8211</t>
  </si>
  <si>
    <t>P8215</t>
  </si>
  <si>
    <t>P8221</t>
  </si>
  <si>
    <t>P8225</t>
  </si>
  <si>
    <t>P82210</t>
  </si>
  <si>
    <t>P8231</t>
  </si>
  <si>
    <t>P8235</t>
  </si>
  <si>
    <t>P8241</t>
  </si>
  <si>
    <t>P8245</t>
  </si>
  <si>
    <t>P82410</t>
  </si>
  <si>
    <t>P8251</t>
  </si>
  <si>
    <t>P8255</t>
  </si>
  <si>
    <t>P82510</t>
  </si>
  <si>
    <t>P8261</t>
  </si>
  <si>
    <t>P8265</t>
  </si>
  <si>
    <t>P8275</t>
  </si>
  <si>
    <t>P828A</t>
  </si>
  <si>
    <t>P828B</t>
  </si>
  <si>
    <t>P8281</t>
  </si>
  <si>
    <t>P8285</t>
  </si>
  <si>
    <t>P8291</t>
  </si>
  <si>
    <t>P8301</t>
  </si>
  <si>
    <t>P8305</t>
  </si>
  <si>
    <t>P83010</t>
  </si>
  <si>
    <t>P8311</t>
  </si>
  <si>
    <t>P832A</t>
  </si>
  <si>
    <t>P832B</t>
  </si>
  <si>
    <t>P832E</t>
  </si>
  <si>
    <t>P8321</t>
  </si>
  <si>
    <t>P8325</t>
  </si>
  <si>
    <t>P83210</t>
  </si>
  <si>
    <t>P8331</t>
  </si>
  <si>
    <t>P8335</t>
  </si>
  <si>
    <t>P83310</t>
  </si>
  <si>
    <t>P8341</t>
  </si>
  <si>
    <t>P8352</t>
  </si>
  <si>
    <t>P8355</t>
  </si>
  <si>
    <t>P83510</t>
  </si>
  <si>
    <t>P8GE1N</t>
  </si>
  <si>
    <t>P8GE2N</t>
  </si>
  <si>
    <t>P8GE1</t>
  </si>
  <si>
    <t>P8GE2</t>
  </si>
  <si>
    <t>P8G2</t>
  </si>
  <si>
    <t>P8G1</t>
  </si>
  <si>
    <t>P8GS</t>
  </si>
  <si>
    <t>P9112</t>
  </si>
  <si>
    <t>PELAG950607</t>
  </si>
  <si>
    <t>P91120</t>
  </si>
  <si>
    <t>P9126</t>
  </si>
  <si>
    <t>P91220</t>
  </si>
  <si>
    <t>P9135</t>
  </si>
  <si>
    <t>P91320</t>
  </si>
  <si>
    <t>P9146</t>
  </si>
  <si>
    <t>P91420</t>
  </si>
  <si>
    <t>P9156</t>
  </si>
  <si>
    <t>P91520</t>
  </si>
  <si>
    <t>P9166</t>
  </si>
  <si>
    <t>P91620</t>
  </si>
  <si>
    <t>P9176</t>
  </si>
  <si>
    <t>P91720</t>
  </si>
  <si>
    <t>P9185</t>
  </si>
  <si>
    <t>P91820</t>
  </si>
  <si>
    <t>P9194</t>
  </si>
  <si>
    <t>P91920</t>
  </si>
  <si>
    <t>P92020</t>
  </si>
  <si>
    <t>P92030</t>
  </si>
  <si>
    <t>P9217</t>
  </si>
  <si>
    <t>P92120</t>
  </si>
  <si>
    <t>P92140</t>
  </si>
  <si>
    <t>P92150</t>
  </si>
  <si>
    <t>P92210</t>
  </si>
  <si>
    <t>P92220</t>
  </si>
  <si>
    <t>P92240</t>
  </si>
  <si>
    <t>P92250</t>
  </si>
  <si>
    <t>P9237</t>
  </si>
  <si>
    <t>P92320</t>
  </si>
  <si>
    <t>P92340</t>
  </si>
  <si>
    <t>P92350</t>
  </si>
  <si>
    <t>P9248</t>
  </si>
  <si>
    <t>P92420</t>
  </si>
  <si>
    <t>P92440</t>
  </si>
  <si>
    <t>P92450</t>
  </si>
  <si>
    <t>P9259</t>
  </si>
  <si>
    <t>P92520</t>
  </si>
  <si>
    <t>P92540</t>
  </si>
  <si>
    <t>P92550</t>
  </si>
  <si>
    <t>P9267</t>
  </si>
  <si>
    <t>P92620</t>
  </si>
  <si>
    <t>P92640</t>
  </si>
  <si>
    <t>P92660</t>
  </si>
  <si>
    <t>P92670</t>
  </si>
  <si>
    <t>P92728</t>
  </si>
  <si>
    <t>P92735</t>
  </si>
  <si>
    <t>P92755</t>
  </si>
  <si>
    <t>P92775</t>
  </si>
  <si>
    <t>P92785</t>
  </si>
  <si>
    <t>P9288</t>
  </si>
  <si>
    <t>P92820</t>
  </si>
  <si>
    <t>P92840</t>
  </si>
  <si>
    <t>P92850</t>
  </si>
  <si>
    <t>P9295</t>
  </si>
  <si>
    <t>P92920</t>
  </si>
  <si>
    <t>P92940</t>
  </si>
  <si>
    <t>P9303</t>
  </si>
  <si>
    <t>P93020</t>
  </si>
  <si>
    <t>P93030</t>
  </si>
  <si>
    <t>P9311</t>
  </si>
  <si>
    <t>P93120</t>
  </si>
  <si>
    <t>P93140</t>
  </si>
  <si>
    <t>P9323</t>
  </si>
  <si>
    <t>P93220</t>
  </si>
  <si>
    <t>P93240</t>
  </si>
  <si>
    <t>P93250</t>
  </si>
  <si>
    <t>P9331</t>
  </si>
  <si>
    <t>P93320</t>
  </si>
  <si>
    <t>P93340</t>
  </si>
  <si>
    <t>P93350</t>
  </si>
  <si>
    <t>P9343</t>
  </si>
  <si>
    <t>P93420</t>
  </si>
  <si>
    <t>P93440</t>
  </si>
  <si>
    <t>P93510</t>
  </si>
  <si>
    <t>P93520</t>
  </si>
  <si>
    <t>P93540</t>
  </si>
  <si>
    <t>P93550</t>
  </si>
  <si>
    <t>D311</t>
  </si>
  <si>
    <t>DEMER 9605</t>
  </si>
  <si>
    <t>D3110</t>
  </si>
  <si>
    <t>D321</t>
  </si>
  <si>
    <t>D3210</t>
  </si>
  <si>
    <t>D331</t>
  </si>
  <si>
    <t>D3310</t>
  </si>
  <si>
    <t>D341</t>
  </si>
  <si>
    <t>D3410</t>
  </si>
  <si>
    <t>D351</t>
  </si>
  <si>
    <t>D361</t>
  </si>
  <si>
    <t>D371</t>
  </si>
  <si>
    <t>D3710</t>
  </si>
  <si>
    <t>D381</t>
  </si>
  <si>
    <t>D3810</t>
  </si>
  <si>
    <t>D391</t>
  </si>
  <si>
    <t>D3910</t>
  </si>
  <si>
    <t>D3101</t>
  </si>
  <si>
    <t>D31010</t>
  </si>
  <si>
    <t>D3111</t>
  </si>
  <si>
    <t>D31110</t>
  </si>
  <si>
    <t>D3124</t>
  </si>
  <si>
    <t>D31210</t>
  </si>
  <si>
    <t>D3135</t>
  </si>
  <si>
    <t>D31310</t>
  </si>
  <si>
    <t>D3144</t>
  </si>
  <si>
    <t>D31410</t>
  </si>
  <si>
    <t>D3155</t>
  </si>
  <si>
    <t>D31510</t>
  </si>
  <si>
    <t>D3165</t>
  </si>
  <si>
    <t>D3175</t>
  </si>
  <si>
    <t>D3185</t>
  </si>
  <si>
    <t>D31810</t>
  </si>
  <si>
    <t>D31910</t>
  </si>
  <si>
    <t>D3194</t>
  </si>
  <si>
    <t>D3204</t>
  </si>
  <si>
    <t>D32020</t>
  </si>
  <si>
    <t>D3217</t>
  </si>
  <si>
    <t>D32110</t>
  </si>
  <si>
    <t>D32120</t>
  </si>
  <si>
    <t>D32130</t>
  </si>
  <si>
    <t>D32210</t>
  </si>
  <si>
    <t>D32220</t>
  </si>
  <si>
    <t>D3237</t>
  </si>
  <si>
    <t>D32320</t>
  </si>
  <si>
    <t>D32330</t>
  </si>
  <si>
    <t>D3248</t>
  </si>
  <si>
    <t>D32420</t>
  </si>
  <si>
    <t>D3258</t>
  </si>
  <si>
    <t>D32520</t>
  </si>
  <si>
    <t>D32530</t>
  </si>
  <si>
    <t>D3267</t>
  </si>
  <si>
    <t>D32620</t>
  </si>
  <si>
    <t>D32630</t>
  </si>
  <si>
    <t>D32727</t>
  </si>
  <si>
    <t>D32735</t>
  </si>
  <si>
    <t>D3287</t>
  </si>
  <si>
    <t>D32820</t>
  </si>
  <si>
    <t>D3294</t>
  </si>
  <si>
    <t>D32920</t>
  </si>
  <si>
    <t>D3303</t>
  </si>
  <si>
    <t>D33010</t>
  </si>
  <si>
    <t>D3311</t>
  </si>
  <si>
    <t>D33110</t>
  </si>
  <si>
    <t>D3325</t>
  </si>
  <si>
    <t>D3331</t>
  </si>
  <si>
    <t>D3343</t>
  </si>
  <si>
    <t>D33410</t>
  </si>
  <si>
    <t>D3359</t>
  </si>
  <si>
    <t>D33520</t>
  </si>
  <si>
    <t>D3510</t>
  </si>
  <si>
    <t>D3610</t>
  </si>
  <si>
    <t>D31610</t>
  </si>
  <si>
    <t>D31710</t>
  </si>
  <si>
    <t>D32230</t>
  </si>
  <si>
    <t>D32430</t>
  </si>
  <si>
    <t>D32750</t>
  </si>
  <si>
    <t>D32830</t>
  </si>
  <si>
    <t>D33210</t>
  </si>
  <si>
    <t>D33310</t>
  </si>
  <si>
    <t>D35AIVC</t>
  </si>
  <si>
    <t>D35IVC</t>
  </si>
  <si>
    <t>D411</t>
  </si>
  <si>
    <t>DEMER 9611</t>
  </si>
  <si>
    <t>D4110</t>
  </si>
  <si>
    <t>D421</t>
  </si>
  <si>
    <t>D4210</t>
  </si>
  <si>
    <t>D431</t>
  </si>
  <si>
    <t>D4310</t>
  </si>
  <si>
    <t>D441</t>
  </si>
  <si>
    <t>D4410</t>
  </si>
  <si>
    <t>D451</t>
  </si>
  <si>
    <t>D461</t>
  </si>
  <si>
    <t>D471</t>
  </si>
  <si>
    <t>D4710</t>
  </si>
  <si>
    <t>D481</t>
  </si>
  <si>
    <t>D4810</t>
  </si>
  <si>
    <t>D4820</t>
  </si>
  <si>
    <t>D491</t>
  </si>
  <si>
    <t>D4910</t>
  </si>
  <si>
    <t>D4101</t>
  </si>
  <si>
    <t>D41010</t>
  </si>
  <si>
    <t>D4111</t>
  </si>
  <si>
    <t>D41110</t>
  </si>
  <si>
    <t>D4124</t>
  </si>
  <si>
    <t>D41210</t>
  </si>
  <si>
    <t>D4135</t>
  </si>
  <si>
    <t>D41310</t>
  </si>
  <si>
    <t>D4145</t>
  </si>
  <si>
    <t>D41410</t>
  </si>
  <si>
    <t>D4155</t>
  </si>
  <si>
    <t>D41510</t>
  </si>
  <si>
    <t>D41520</t>
  </si>
  <si>
    <t>D4165</t>
  </si>
  <si>
    <t>D4175</t>
  </si>
  <si>
    <t>D4185</t>
  </si>
  <si>
    <t>D41810</t>
  </si>
  <si>
    <t>D4194</t>
  </si>
  <si>
    <t>D41910</t>
  </si>
  <si>
    <t>D4204</t>
  </si>
  <si>
    <t>D42020</t>
  </si>
  <si>
    <t>D4217</t>
  </si>
  <si>
    <t>D42110</t>
  </si>
  <si>
    <t>D42120</t>
  </si>
  <si>
    <t>D42130</t>
  </si>
  <si>
    <t>D42210</t>
  </si>
  <si>
    <t>D42220</t>
  </si>
  <si>
    <t>D4237</t>
  </si>
  <si>
    <t>D42320</t>
  </si>
  <si>
    <t>D42330</t>
  </si>
  <si>
    <t>D4248</t>
  </si>
  <si>
    <t>D42420</t>
  </si>
  <si>
    <t>D42440</t>
  </si>
  <si>
    <t>D4258</t>
  </si>
  <si>
    <t>D42520</t>
  </si>
  <si>
    <t>D42530</t>
  </si>
  <si>
    <t>D4267</t>
  </si>
  <si>
    <t>D42620</t>
  </si>
  <si>
    <t>D42630</t>
  </si>
  <si>
    <t>D42727</t>
  </si>
  <si>
    <t>D42735</t>
  </si>
  <si>
    <t>D4287</t>
  </si>
  <si>
    <t>D42820</t>
  </si>
  <si>
    <t>D4294</t>
  </si>
  <si>
    <t>D42920</t>
  </si>
  <si>
    <t>D42930</t>
  </si>
  <si>
    <t>D4303</t>
  </si>
  <si>
    <t>D43010</t>
  </si>
  <si>
    <t>D4311</t>
  </si>
  <si>
    <t>D43110</t>
  </si>
  <si>
    <t>D4325</t>
  </si>
  <si>
    <t>D4331</t>
  </si>
  <si>
    <t>D4343</t>
  </si>
  <si>
    <t>D43410</t>
  </si>
  <si>
    <t>D4359</t>
  </si>
  <si>
    <t>D43520</t>
  </si>
  <si>
    <t>D4510</t>
  </si>
  <si>
    <t>D4610</t>
  </si>
  <si>
    <t>D41610</t>
  </si>
  <si>
    <t>D41710</t>
  </si>
  <si>
    <t>D42230</t>
  </si>
  <si>
    <t>D42430</t>
  </si>
  <si>
    <t>D42750</t>
  </si>
  <si>
    <t>D42840</t>
  </si>
  <si>
    <t>D43210</t>
  </si>
  <si>
    <t>D43310</t>
  </si>
  <si>
    <t>D45AIVC</t>
  </si>
  <si>
    <t>D45IVC</t>
  </si>
  <si>
    <t>P1041</t>
  </si>
  <si>
    <t>PELAG0812</t>
  </si>
  <si>
    <t>P10410</t>
  </si>
  <si>
    <t>P1051</t>
  </si>
  <si>
    <t>P1091</t>
  </si>
  <si>
    <t>P101010</t>
  </si>
  <si>
    <t>P101112A</t>
  </si>
  <si>
    <t>P10121</t>
  </si>
  <si>
    <t>P10131</t>
  </si>
  <si>
    <t>P10141</t>
  </si>
  <si>
    <t>P10145</t>
  </si>
  <si>
    <t>P101410</t>
  </si>
  <si>
    <t>P10151</t>
  </si>
  <si>
    <t>P101516A</t>
  </si>
  <si>
    <t>P10161</t>
  </si>
  <si>
    <t>P1017A</t>
  </si>
  <si>
    <t>P10175</t>
  </si>
  <si>
    <t>P1018A</t>
  </si>
  <si>
    <t>P1018B</t>
  </si>
  <si>
    <t>P10CHA</t>
  </si>
  <si>
    <t>P10185</t>
  </si>
  <si>
    <t>P101810</t>
  </si>
  <si>
    <t>P10191</t>
  </si>
  <si>
    <t>P10195</t>
  </si>
  <si>
    <t>P1020A</t>
  </si>
  <si>
    <t>P1020C</t>
  </si>
  <si>
    <t>P1021A</t>
  </si>
  <si>
    <t>P1021B</t>
  </si>
  <si>
    <t>P1021C</t>
  </si>
  <si>
    <t>P1021D</t>
  </si>
  <si>
    <t>P10211</t>
  </si>
  <si>
    <t>P10215</t>
  </si>
  <si>
    <t>P102110</t>
  </si>
  <si>
    <t>P10221</t>
  </si>
  <si>
    <t>P10225</t>
  </si>
  <si>
    <t>P102210</t>
  </si>
  <si>
    <t>P1023A</t>
  </si>
  <si>
    <t>P1023B</t>
  </si>
  <si>
    <t>P10231</t>
  </si>
  <si>
    <t>P10235</t>
  </si>
  <si>
    <t>P10241</t>
  </si>
  <si>
    <t>P10245</t>
  </si>
  <si>
    <t>P102410</t>
  </si>
  <si>
    <t>P10251</t>
  </si>
  <si>
    <t>P102510</t>
  </si>
  <si>
    <t>P10261</t>
  </si>
  <si>
    <t>P10265</t>
  </si>
  <si>
    <t>P1027A</t>
  </si>
  <si>
    <t>P1028A</t>
  </si>
  <si>
    <t>P1028B</t>
  </si>
  <si>
    <t>P1028C</t>
  </si>
  <si>
    <t>P1028D</t>
  </si>
  <si>
    <t>P1028E</t>
  </si>
  <si>
    <t>P1028K</t>
  </si>
  <si>
    <t>P1028M</t>
  </si>
  <si>
    <t>P10281</t>
  </si>
  <si>
    <t>P10285</t>
  </si>
  <si>
    <t>P1029C</t>
  </si>
  <si>
    <t>P10291</t>
  </si>
  <si>
    <t>P10305</t>
  </si>
  <si>
    <t>P10311</t>
  </si>
  <si>
    <t>P1032B</t>
  </si>
  <si>
    <t>P1032C</t>
  </si>
  <si>
    <t>P1032D</t>
  </si>
  <si>
    <t>P1032E</t>
  </si>
  <si>
    <t>P10321</t>
  </si>
  <si>
    <t>P103210</t>
  </si>
  <si>
    <t>P10331</t>
  </si>
  <si>
    <t>P103310</t>
  </si>
  <si>
    <t>P10341</t>
  </si>
  <si>
    <t>P10352</t>
  </si>
  <si>
    <t>P10355</t>
  </si>
  <si>
    <t>P103510</t>
  </si>
  <si>
    <t>P10GO1</t>
  </si>
  <si>
    <t>P10GE2</t>
  </si>
  <si>
    <t>P10GO2</t>
  </si>
  <si>
    <t>P10GE1D</t>
  </si>
  <si>
    <t>P10GE1N</t>
  </si>
  <si>
    <t>P10GS</t>
  </si>
  <si>
    <t>PELAG0912</t>
  </si>
  <si>
    <t>P118A</t>
  </si>
  <si>
    <t>P11101</t>
  </si>
  <si>
    <t>P11105</t>
  </si>
  <si>
    <t>P111010</t>
  </si>
  <si>
    <t>P11111</t>
  </si>
  <si>
    <t>P11115</t>
  </si>
  <si>
    <t>P111112A</t>
  </si>
  <si>
    <t>P11121</t>
  </si>
  <si>
    <t>P11125</t>
  </si>
  <si>
    <t>P111210</t>
  </si>
  <si>
    <t>P11131</t>
  </si>
  <si>
    <t>P11135</t>
  </si>
  <si>
    <t>P11141</t>
  </si>
  <si>
    <t>P11145</t>
  </si>
  <si>
    <t>P111410</t>
  </si>
  <si>
    <t>P11151</t>
  </si>
  <si>
    <t>P11155</t>
  </si>
  <si>
    <t>P111516A</t>
  </si>
  <si>
    <t>P11161</t>
  </si>
  <si>
    <t>P11165</t>
  </si>
  <si>
    <t>P1117A</t>
  </si>
  <si>
    <t>P11171</t>
  </si>
  <si>
    <t>P11175</t>
  </si>
  <si>
    <t>P111710</t>
  </si>
  <si>
    <t>P1118A</t>
  </si>
  <si>
    <t>P1118B</t>
  </si>
  <si>
    <t>P11181</t>
  </si>
  <si>
    <t>P11185</t>
  </si>
  <si>
    <t>P111810</t>
  </si>
  <si>
    <t>P11191</t>
  </si>
  <si>
    <t>P11195</t>
  </si>
  <si>
    <t>P1120A</t>
  </si>
  <si>
    <t>P1120B</t>
  </si>
  <si>
    <t>P1120C</t>
  </si>
  <si>
    <t>P1121B</t>
  </si>
  <si>
    <t>P1121C</t>
  </si>
  <si>
    <t>P1121D</t>
  </si>
  <si>
    <t>P11211</t>
  </si>
  <si>
    <t>P11215</t>
  </si>
  <si>
    <t>P112110</t>
  </si>
  <si>
    <t>P11221</t>
  </si>
  <si>
    <t>P11225</t>
  </si>
  <si>
    <t>P112210</t>
  </si>
  <si>
    <t>P1123A</t>
  </si>
  <si>
    <t>P1123B</t>
  </si>
  <si>
    <t>P11231</t>
  </si>
  <si>
    <t>P11235</t>
  </si>
  <si>
    <t>P11241</t>
  </si>
  <si>
    <t>P11245</t>
  </si>
  <si>
    <t>P112410</t>
  </si>
  <si>
    <t>P11251</t>
  </si>
  <si>
    <t>P11255</t>
  </si>
  <si>
    <t>P112510</t>
  </si>
  <si>
    <t>P11261</t>
  </si>
  <si>
    <t>P11265</t>
  </si>
  <si>
    <t>P1127A</t>
  </si>
  <si>
    <t>P11271</t>
  </si>
  <si>
    <t>P11275</t>
  </si>
  <si>
    <t>P1128A</t>
  </si>
  <si>
    <t>P1128B</t>
  </si>
  <si>
    <t>P1128D</t>
  </si>
  <si>
    <t>P1128E</t>
  </si>
  <si>
    <t>P1128F</t>
  </si>
  <si>
    <t>P1128K</t>
  </si>
  <si>
    <t>P1128M</t>
  </si>
  <si>
    <t>P11285</t>
  </si>
  <si>
    <t>P1129B</t>
  </si>
  <si>
    <t>P1129C</t>
  </si>
  <si>
    <t>P1129D</t>
  </si>
  <si>
    <t>P11291</t>
  </si>
  <si>
    <t>P11301</t>
  </si>
  <si>
    <t>P11305</t>
  </si>
  <si>
    <t>P113010</t>
  </si>
  <si>
    <t>P11311</t>
  </si>
  <si>
    <t>P1132B</t>
  </si>
  <si>
    <t>P1132C</t>
  </si>
  <si>
    <t>P1132D</t>
  </si>
  <si>
    <t>P1132E</t>
  </si>
  <si>
    <t>P11321</t>
  </si>
  <si>
    <t>P11325</t>
  </si>
  <si>
    <t>P113210</t>
  </si>
  <si>
    <t>P11331</t>
  </si>
  <si>
    <t>P11335</t>
  </si>
  <si>
    <t>P113310</t>
  </si>
  <si>
    <t>P11352</t>
  </si>
  <si>
    <t>P11355</t>
  </si>
  <si>
    <t>P113510</t>
  </si>
  <si>
    <t>P11GO1</t>
  </si>
  <si>
    <t>P11GE2</t>
  </si>
  <si>
    <t>P11GO2</t>
  </si>
  <si>
    <t>P11GE1D</t>
  </si>
  <si>
    <t>P11GE1N</t>
  </si>
  <si>
    <t>P11GE2N</t>
  </si>
  <si>
    <t>P11GS</t>
  </si>
  <si>
    <t xml:space="preserve"> 1-1</t>
  </si>
  <si>
    <t xml:space="preserve"> 1-5</t>
  </si>
  <si>
    <t xml:space="preserve"> 1-10</t>
  </si>
  <si>
    <t xml:space="preserve"> 1-15</t>
  </si>
  <si>
    <t xml:space="preserve"> 3-10</t>
  </si>
  <si>
    <t xml:space="preserve"> 3-20</t>
  </si>
  <si>
    <t xml:space="preserve"> 3-30</t>
  </si>
  <si>
    <t>4-1</t>
  </si>
  <si>
    <t>4-5</t>
  </si>
  <si>
    <t>4-10</t>
  </si>
  <si>
    <t>4-20</t>
  </si>
  <si>
    <t>4-40</t>
  </si>
  <si>
    <t>6-1</t>
  </si>
  <si>
    <t>6-5</t>
  </si>
  <si>
    <t xml:space="preserve"> 6-10</t>
  </si>
  <si>
    <t>6-20</t>
  </si>
  <si>
    <t>6-40</t>
  </si>
  <si>
    <t xml:space="preserve"> 8-1</t>
  </si>
  <si>
    <t>8-5</t>
  </si>
  <si>
    <t xml:space="preserve"> 8-10</t>
  </si>
  <si>
    <t xml:space="preserve"> 8-20</t>
  </si>
  <si>
    <t xml:space="preserve"> 8-40</t>
  </si>
  <si>
    <t>9-1</t>
  </si>
  <si>
    <t>9-5</t>
  </si>
  <si>
    <t>9-10</t>
  </si>
  <si>
    <t>9-20</t>
  </si>
  <si>
    <t>9-40</t>
  </si>
  <si>
    <t>11-1</t>
  </si>
  <si>
    <t>11-10</t>
  </si>
  <si>
    <t>11-20</t>
  </si>
  <si>
    <t>11-40</t>
  </si>
  <si>
    <t>12-5</t>
  </si>
  <si>
    <t>12-10</t>
  </si>
  <si>
    <t>12-20</t>
  </si>
  <si>
    <t>12-40</t>
  </si>
  <si>
    <t>11-5A</t>
  </si>
  <si>
    <t>11-10A</t>
  </si>
  <si>
    <t>11-20A</t>
  </si>
  <si>
    <t>11-40A</t>
  </si>
  <si>
    <t>12-1A</t>
  </si>
  <si>
    <t>12-5A</t>
  </si>
  <si>
    <t>12-10A</t>
  </si>
  <si>
    <t>12-20A</t>
  </si>
  <si>
    <t>12-40A</t>
  </si>
  <si>
    <t xml:space="preserve"> 13-1</t>
  </si>
  <si>
    <t>13-5</t>
  </si>
  <si>
    <t>13-10</t>
  </si>
  <si>
    <t>13-20</t>
  </si>
  <si>
    <t>13-40</t>
  </si>
  <si>
    <t>14-1</t>
  </si>
  <si>
    <t>14-5</t>
  </si>
  <si>
    <t>14-10</t>
  </si>
  <si>
    <t>14-20</t>
  </si>
  <si>
    <t>14-40</t>
  </si>
  <si>
    <t>15-1</t>
  </si>
  <si>
    <t>15-5</t>
  </si>
  <si>
    <t>15-10</t>
  </si>
  <si>
    <t xml:space="preserve"> 15-20</t>
  </si>
  <si>
    <t xml:space="preserve"> 15-40</t>
  </si>
  <si>
    <t xml:space="preserve"> 16-1</t>
  </si>
  <si>
    <t xml:space="preserve"> 16-5</t>
  </si>
  <si>
    <t>16-10</t>
  </si>
  <si>
    <t>16-20</t>
  </si>
  <si>
    <t>16-40</t>
  </si>
  <si>
    <t>17-1</t>
  </si>
  <si>
    <t>17-5</t>
  </si>
  <si>
    <t>17-10</t>
  </si>
  <si>
    <t>17-20</t>
  </si>
  <si>
    <t xml:space="preserve"> 17-40</t>
  </si>
  <si>
    <t xml:space="preserve"> 18-1</t>
  </si>
  <si>
    <t xml:space="preserve"> 18-5</t>
  </si>
  <si>
    <t>18-10</t>
  </si>
  <si>
    <t>18-20</t>
  </si>
  <si>
    <t>18-40</t>
  </si>
  <si>
    <t>19-1</t>
  </si>
  <si>
    <t>19-5</t>
  </si>
  <si>
    <t>19-10</t>
  </si>
  <si>
    <t>19-20</t>
  </si>
  <si>
    <t>19-40</t>
  </si>
  <si>
    <t xml:space="preserve"> 20-1</t>
  </si>
  <si>
    <t xml:space="preserve"> 20-5</t>
  </si>
  <si>
    <t>20-20</t>
  </si>
  <si>
    <t>20-40</t>
  </si>
  <si>
    <t>21-1</t>
  </si>
  <si>
    <t>21-5</t>
  </si>
  <si>
    <t>21-10</t>
  </si>
  <si>
    <t>21-20</t>
  </si>
  <si>
    <t>21-40</t>
  </si>
  <si>
    <t xml:space="preserve"> 22-1</t>
  </si>
  <si>
    <t xml:space="preserve"> 22-5</t>
  </si>
  <si>
    <t>22-10</t>
  </si>
  <si>
    <t>22-20</t>
  </si>
  <si>
    <t>22-40</t>
  </si>
  <si>
    <t>23-1</t>
  </si>
  <si>
    <t>23-5</t>
  </si>
  <si>
    <t>23-10</t>
  </si>
  <si>
    <t>23-20</t>
  </si>
  <si>
    <t>23-40</t>
  </si>
  <si>
    <t xml:space="preserve"> 24-1</t>
  </si>
  <si>
    <t xml:space="preserve"> 24-5</t>
  </si>
  <si>
    <t>24-10</t>
  </si>
  <si>
    <t>24-20</t>
  </si>
  <si>
    <t>24-40</t>
  </si>
  <si>
    <t>25-1</t>
  </si>
  <si>
    <t>25-5</t>
  </si>
  <si>
    <t>25-10</t>
  </si>
  <si>
    <t>25-20</t>
  </si>
  <si>
    <t>25-40</t>
  </si>
  <si>
    <t xml:space="preserve"> 26-1</t>
  </si>
  <si>
    <t>26-5</t>
  </si>
  <si>
    <t>26-10</t>
  </si>
  <si>
    <t>26-20</t>
  </si>
  <si>
    <t>26-40</t>
  </si>
  <si>
    <t>27-5</t>
  </si>
  <si>
    <t>27-10</t>
  </si>
  <si>
    <t>27-20</t>
  </si>
  <si>
    <t>27-40</t>
  </si>
  <si>
    <t xml:space="preserve"> 27-70</t>
  </si>
  <si>
    <t xml:space="preserve"> 28-5</t>
  </si>
  <si>
    <t>28-10</t>
  </si>
  <si>
    <t>28-20</t>
  </si>
  <si>
    <t>28-40</t>
  </si>
  <si>
    <t>29-1</t>
  </si>
  <si>
    <t>29-5</t>
  </si>
  <si>
    <t>29-10</t>
  </si>
  <si>
    <t>29-20</t>
  </si>
  <si>
    <t xml:space="preserve"> 29-30</t>
  </si>
  <si>
    <t xml:space="preserve"> 30-1</t>
  </si>
  <si>
    <t>30-5</t>
  </si>
  <si>
    <t>30-10</t>
  </si>
  <si>
    <t>30-20</t>
  </si>
  <si>
    <t>30-40</t>
  </si>
  <si>
    <t>31-1</t>
  </si>
  <si>
    <t>31-5</t>
  </si>
  <si>
    <t>31-10</t>
  </si>
  <si>
    <t>31-20</t>
  </si>
  <si>
    <t xml:space="preserve"> 31-40</t>
  </si>
  <si>
    <t>32-1</t>
  </si>
  <si>
    <t>32-5</t>
  </si>
  <si>
    <t>32-10</t>
  </si>
  <si>
    <t>32-20</t>
  </si>
  <si>
    <t xml:space="preserve"> 32-40</t>
  </si>
  <si>
    <t xml:space="preserve"> 33-0</t>
  </si>
  <si>
    <t>33-1</t>
  </si>
  <si>
    <t>33-5</t>
  </si>
  <si>
    <t>33-10</t>
  </si>
  <si>
    <t>33-20</t>
  </si>
  <si>
    <t xml:space="preserve"> 33-40</t>
  </si>
  <si>
    <t xml:space="preserve"> 34-1</t>
  </si>
  <si>
    <t xml:space="preserve"> 34-5</t>
  </si>
  <si>
    <t xml:space="preserve"> 34-10</t>
  </si>
  <si>
    <t xml:space="preserve"> 34-20</t>
  </si>
  <si>
    <t xml:space="preserve"> 34-40</t>
  </si>
  <si>
    <t>35-5</t>
  </si>
  <si>
    <t>35-10</t>
  </si>
  <si>
    <t xml:space="preserve"> 35-20</t>
  </si>
  <si>
    <t xml:space="preserve"> 35-40</t>
  </si>
  <si>
    <t xml:space="preserve"> 1-20</t>
  </si>
  <si>
    <t xml:space="preserve"> 3-5</t>
  </si>
  <si>
    <t>5-1</t>
  </si>
  <si>
    <t>5-5</t>
  </si>
  <si>
    <t xml:space="preserve"> 5-10</t>
  </si>
  <si>
    <t>5-20</t>
  </si>
  <si>
    <t>5-40</t>
  </si>
  <si>
    <t xml:space="preserve"> 6-5</t>
  </si>
  <si>
    <t xml:space="preserve"> 6-20</t>
  </si>
  <si>
    <t>7-1</t>
  </si>
  <si>
    <t>7-5</t>
  </si>
  <si>
    <t xml:space="preserve"> 7-10</t>
  </si>
  <si>
    <t>7-40</t>
  </si>
  <si>
    <t>10-1</t>
  </si>
  <si>
    <t>10-5</t>
  </si>
  <si>
    <t>10-10</t>
  </si>
  <si>
    <t>10-20</t>
  </si>
  <si>
    <t>10-40</t>
  </si>
  <si>
    <t>11-5</t>
  </si>
  <si>
    <t>12-1</t>
  </si>
  <si>
    <t>13-1</t>
  </si>
  <si>
    <t xml:space="preserve"> 13-40</t>
  </si>
  <si>
    <t xml:space="preserve"> 14-1</t>
  </si>
  <si>
    <t>20-10</t>
  </si>
  <si>
    <t>20-30</t>
  </si>
  <si>
    <t>21-30</t>
  </si>
  <si>
    <t>24-30</t>
  </si>
  <si>
    <t>25-30</t>
  </si>
  <si>
    <t>27-1</t>
  </si>
  <si>
    <t xml:space="preserve"> 27-40</t>
  </si>
  <si>
    <t xml:space="preserve"> 28-1</t>
  </si>
  <si>
    <t>28-5</t>
  </si>
  <si>
    <t>30-30</t>
  </si>
  <si>
    <t xml:space="preserve"> 31-30</t>
  </si>
  <si>
    <t xml:space="preserve"> 33-10</t>
  </si>
  <si>
    <t xml:space="preserve"> 33-20</t>
  </si>
  <si>
    <t>34-40</t>
  </si>
  <si>
    <t>35-1</t>
  </si>
  <si>
    <t xml:space="preserve"> 35-10</t>
  </si>
  <si>
    <t>1-5</t>
  </si>
  <si>
    <t>1-10</t>
  </si>
  <si>
    <t>1-15</t>
  </si>
  <si>
    <t>3-1</t>
  </si>
  <si>
    <t>3-5</t>
  </si>
  <si>
    <t>3-10</t>
  </si>
  <si>
    <t>3-20</t>
  </si>
  <si>
    <t>3-30</t>
  </si>
  <si>
    <t>5-10</t>
  </si>
  <si>
    <t>6-10</t>
  </si>
  <si>
    <t>8-1</t>
  </si>
  <si>
    <t>8-10</t>
  </si>
  <si>
    <t>8-20</t>
  </si>
  <si>
    <t>8-40</t>
  </si>
  <si>
    <t>11-30</t>
  </si>
  <si>
    <t>14-30</t>
  </si>
  <si>
    <t>15-20</t>
  </si>
  <si>
    <t>15-30</t>
  </si>
  <si>
    <t>16-1</t>
  </si>
  <si>
    <t>17-40</t>
  </si>
  <si>
    <t>18-5</t>
  </si>
  <si>
    <t>20-1</t>
  </si>
  <si>
    <t>20-5</t>
  </si>
  <si>
    <t xml:space="preserve"> 20-20</t>
  </si>
  <si>
    <t xml:space="preserve"> 20-40</t>
  </si>
  <si>
    <t>22-5</t>
  </si>
  <si>
    <t xml:space="preserve"> 22-20</t>
  </si>
  <si>
    <t xml:space="preserve"> 22-40</t>
  </si>
  <si>
    <t>24-1</t>
  </si>
  <si>
    <t>24-5</t>
  </si>
  <si>
    <t xml:space="preserve"> 24-20</t>
  </si>
  <si>
    <t xml:space="preserve"> 24-40</t>
  </si>
  <si>
    <t>26-1</t>
  </si>
  <si>
    <t xml:space="preserve"> 26-40</t>
  </si>
  <si>
    <t xml:space="preserve"> 27-1</t>
  </si>
  <si>
    <t>28-1</t>
  </si>
  <si>
    <t xml:space="preserve"> 28-30</t>
  </si>
  <si>
    <t xml:space="preserve"> 29-1</t>
  </si>
  <si>
    <t>29-40</t>
  </si>
  <si>
    <t>30-1</t>
  </si>
  <si>
    <t xml:space="preserve"> 30-30</t>
  </si>
  <si>
    <t xml:space="preserve"> 31-1</t>
  </si>
  <si>
    <t>31-40</t>
  </si>
  <si>
    <t>32-40</t>
  </si>
  <si>
    <t xml:space="preserve"> 33-1</t>
  </si>
  <si>
    <t>33-40</t>
  </si>
  <si>
    <t>34-1</t>
  </si>
  <si>
    <t>34-5</t>
  </si>
  <si>
    <t>34-10</t>
  </si>
  <si>
    <t xml:space="preserve"> 34-30</t>
  </si>
  <si>
    <t xml:space="preserve"> 35-1</t>
  </si>
  <si>
    <t>35-20</t>
  </si>
  <si>
    <t>35-40</t>
  </si>
  <si>
    <t>17-A</t>
  </si>
  <si>
    <t xml:space="preserve"> 17-1</t>
  </si>
  <si>
    <t xml:space="preserve"> 17-5</t>
  </si>
  <si>
    <t xml:space="preserve"> 17-10</t>
  </si>
  <si>
    <t>18-A</t>
  </si>
  <si>
    <t>18-B</t>
  </si>
  <si>
    <t xml:space="preserve"> 18-10</t>
  </si>
  <si>
    <t xml:space="preserve"> 19-1</t>
  </si>
  <si>
    <t xml:space="preserve"> 19-5</t>
  </si>
  <si>
    <t>20-A</t>
  </si>
  <si>
    <t>20-B</t>
  </si>
  <si>
    <t>20-C</t>
  </si>
  <si>
    <t>21-A</t>
  </si>
  <si>
    <t>21-B</t>
  </si>
  <si>
    <t>21-D</t>
  </si>
  <si>
    <t>22-1</t>
  </si>
  <si>
    <t>23-A</t>
  </si>
  <si>
    <t>23-B</t>
  </si>
  <si>
    <t>24-A</t>
  </si>
  <si>
    <t>26-1/27-1</t>
  </si>
  <si>
    <t>28-B</t>
  </si>
  <si>
    <t>28-C</t>
  </si>
  <si>
    <t>32-A</t>
  </si>
  <si>
    <t>32-B</t>
  </si>
  <si>
    <t>32-E</t>
  </si>
  <si>
    <t xml:space="preserve"> GE-1 N</t>
  </si>
  <si>
    <t>GE-2 N</t>
  </si>
  <si>
    <t>GE-1</t>
  </si>
  <si>
    <t>GE-2</t>
  </si>
  <si>
    <t>GO-2</t>
  </si>
  <si>
    <t>GO-1</t>
  </si>
  <si>
    <t>G-S</t>
  </si>
  <si>
    <t>8-A</t>
  </si>
  <si>
    <t>11-12A</t>
  </si>
  <si>
    <t>16-5</t>
  </si>
  <si>
    <t xml:space="preserve"> 18-B</t>
  </si>
  <si>
    <t>18-1</t>
  </si>
  <si>
    <t xml:space="preserve"> 20-B</t>
  </si>
  <si>
    <t>20-D</t>
  </si>
  <si>
    <t>21-C</t>
  </si>
  <si>
    <t xml:space="preserve"> 22-10</t>
  </si>
  <si>
    <t>27-A</t>
  </si>
  <si>
    <t>27-B</t>
  </si>
  <si>
    <t>28-A</t>
  </si>
  <si>
    <t>32-C</t>
  </si>
  <si>
    <t>32-D</t>
  </si>
  <si>
    <t>32-1dia</t>
  </si>
  <si>
    <t>35-2</t>
  </si>
  <si>
    <t>15-16A</t>
  </si>
  <si>
    <t>GE-1 N</t>
  </si>
  <si>
    <t>G-02</t>
  </si>
  <si>
    <t>G-01</t>
  </si>
  <si>
    <t>28-D</t>
  </si>
  <si>
    <t>GE-1N</t>
  </si>
  <si>
    <t>GE-2N</t>
  </si>
  <si>
    <t>11-2</t>
  </si>
  <si>
    <t>12-6</t>
  </si>
  <si>
    <t>14-6</t>
  </si>
  <si>
    <t>15-6</t>
  </si>
  <si>
    <t>16-6</t>
  </si>
  <si>
    <t>17-6</t>
  </si>
  <si>
    <t>19-4</t>
  </si>
  <si>
    <t>21-7</t>
  </si>
  <si>
    <t>21-50</t>
  </si>
  <si>
    <t>22-50</t>
  </si>
  <si>
    <t>23-7</t>
  </si>
  <si>
    <t>23-50</t>
  </si>
  <si>
    <t>24-8</t>
  </si>
  <si>
    <t>24-50</t>
  </si>
  <si>
    <t>25-9</t>
  </si>
  <si>
    <t>25-50</t>
  </si>
  <si>
    <t>26-7</t>
  </si>
  <si>
    <t>26-60</t>
  </si>
  <si>
    <t>26-70</t>
  </si>
  <si>
    <t>27-28</t>
  </si>
  <si>
    <t>27-35</t>
  </si>
  <si>
    <t>27-55</t>
  </si>
  <si>
    <t>27-75</t>
  </si>
  <si>
    <t>27-85</t>
  </si>
  <si>
    <t>28-08</t>
  </si>
  <si>
    <t>28-50</t>
  </si>
  <si>
    <t>30-3</t>
  </si>
  <si>
    <t>32-3</t>
  </si>
  <si>
    <t>32-50</t>
  </si>
  <si>
    <t>33-50</t>
  </si>
  <si>
    <t>34-3</t>
  </si>
  <si>
    <t>34-20</t>
  </si>
  <si>
    <t>35-50</t>
  </si>
  <si>
    <t>1-1</t>
  </si>
  <si>
    <t>2-1</t>
  </si>
  <si>
    <t>2-10</t>
  </si>
  <si>
    <t>7-10</t>
  </si>
  <si>
    <t>12-4</t>
  </si>
  <si>
    <t>14-4</t>
  </si>
  <si>
    <t>20-4</t>
  </si>
  <si>
    <t>23-30</t>
  </si>
  <si>
    <t>25-8</t>
  </si>
  <si>
    <t>26-30</t>
  </si>
  <si>
    <t>27-27</t>
  </si>
  <si>
    <t>28-7</t>
  </si>
  <si>
    <t>29-4</t>
  </si>
  <si>
    <t>35-09</t>
  </si>
  <si>
    <t>22-30</t>
  </si>
  <si>
    <t>27-50</t>
  </si>
  <si>
    <t>28-30</t>
  </si>
  <si>
    <t>5A-IVC</t>
  </si>
  <si>
    <t>5-IVC</t>
  </si>
  <si>
    <t>29-30</t>
  </si>
  <si>
    <t>CHARAMBIRA</t>
  </si>
  <si>
    <t>28-E</t>
  </si>
  <si>
    <t>28-K</t>
  </si>
  <si>
    <t>28-M</t>
  </si>
  <si>
    <t>29-C</t>
  </si>
  <si>
    <t>GE1-D</t>
  </si>
  <si>
    <t>GE1-N</t>
  </si>
  <si>
    <t>28-F</t>
  </si>
  <si>
    <t>29-B</t>
  </si>
  <si>
    <t>29-D</t>
  </si>
  <si>
    <t>GE2-N</t>
  </si>
  <si>
    <r>
      <t>Huevos de Engraulidae (ind/10m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 s.m.</t>
    </r>
  </si>
  <si>
    <r>
      <t>Larvas de Engraulidae (ind/10m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 s.m.</t>
    </r>
  </si>
  <si>
    <r>
      <t xml:space="preserve"> TOTAL DE HUEVOS
(10m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 s.m.</t>
    </r>
  </si>
  <si>
    <r>
      <t xml:space="preserve"> TOTAL DE LARVAS 
(10m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 s.m.</t>
    </r>
  </si>
  <si>
    <t>AÑO</t>
  </si>
  <si>
    <t>MES</t>
  </si>
  <si>
    <t>Febrero</t>
  </si>
  <si>
    <t>Marzo</t>
  </si>
  <si>
    <t>Septiembre</t>
  </si>
  <si>
    <t>Diciembre</t>
  </si>
  <si>
    <t>Enero</t>
  </si>
  <si>
    <t>Noviembre</t>
  </si>
  <si>
    <t>Abril</t>
  </si>
  <si>
    <t>Julio</t>
  </si>
  <si>
    <t>Junio</t>
  </si>
  <si>
    <t>Mayo</t>
  </si>
  <si>
    <t>FECHA</t>
  </si>
  <si>
    <t>?15/12/2008?</t>
  </si>
  <si>
    <t>Codigo_Analisis</t>
  </si>
  <si>
    <t>PEPE1991_Febrero</t>
  </si>
  <si>
    <t>PEPE1991_Marzo</t>
  </si>
  <si>
    <t>PEPE1991_Septiembre</t>
  </si>
  <si>
    <t>PEPE1991_Diciembre</t>
  </si>
  <si>
    <t>PEPE1993_Enero</t>
  </si>
  <si>
    <t>PEPE1993_Noviembre</t>
  </si>
  <si>
    <t>PEPE1994_Abril</t>
  </si>
  <si>
    <t>PEPE1994_Julio</t>
  </si>
  <si>
    <t>PEPE1994_Diciembre</t>
  </si>
  <si>
    <t>PEPE1995_Junio</t>
  </si>
  <si>
    <t>PEPE1995_Julio</t>
  </si>
  <si>
    <t>PEPE1996_Mayo</t>
  </si>
  <si>
    <t>PEPE1996_Noviembre</t>
  </si>
  <si>
    <t>PEPE2008_Diciembre</t>
  </si>
  <si>
    <t>PEPE2009_Diciembre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</si>
</sst>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0"/>
    <numFmt numFmtId="165" formatCode="_-* #,##0.00\ _€_-;\-* #,##0.00\ _€_-;_-* &quot;-&quot;??\ _€_-;_-@_-"/>
    <numFmt numFmtId="166" formatCode="0.00_)"/>
    <numFmt numFmtId="167" formatCode="0.0"/>
    <numFmt numFmtId="168" formatCode="0_)"/>
    <numFmt numFmtId="169" formatCode="dd\-mm\-yy;@"/>
    <numFmt numFmtId="170" formatCode="yyyy\-mm\-dd;@"/>
  </numFmts>
  <fonts count="5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0" fontId="3" fillId="0" borderId="0"/>
  </cellStyleXfs>
  <cellXfs count="27">
    <xf numFmtId="0" fontId="0" fillId="0" borderId="0" xfId="0"/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" fontId="1" fillId="0" borderId="0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170" fontId="4" fillId="0" borderId="0" xfId="0" applyNumberFormat="1" applyFont="1" applyAlignment="1">
      <alignment horizontal="center"/>
    </xf>
    <xf numFmtId="170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7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68" fontId="4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</cellXfs>
  <cellStyles count="3">
    <cellStyle name="Estilo 1" xfId="2" xr:uid="{8D8313F5-94E8-4A7B-9D70-6D9891F1F2B6}"/>
    <cellStyle name="Millares 2" xfId="1" xr:uid="{6073C0DC-85D3-4944-8D6B-512A10FA12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854E-D9BE-4835-A9CA-7AE27A4512A0}">
  <dimension ref="A1:P1648"/>
  <sheetViews>
    <sheetView tabSelected="1" zoomScale="49" zoomScaleNormal="100" zoomScaleSheetLayoutView="100" workbookViewId="0">
      <pane xSplit="7" ySplit="1" topLeftCell="H2" activePane="bottomRight" state="frozen"/>
      <selection pane="topRight" activeCell="F1" sqref="F1"/>
      <selection pane="bottomLeft" activeCell="A2" sqref="A2"/>
      <selection pane="bottomRight" activeCell="F2" sqref="F2:F1370"/>
    </sheetView>
  </sheetViews>
  <sheetFormatPr baseColWidth="10" defaultColWidth="15.1796875" defaultRowHeight="14"/>
  <cols>
    <col min="1" max="1" width="15.1796875" style="1"/>
    <col min="2" max="2" width="19.1796875" style="1" hidden="1" customWidth="1"/>
    <col min="3" max="5" width="19.1796875" style="1" customWidth="1"/>
    <col min="6" max="6" width="22" style="1" bestFit="1" customWidth="1"/>
    <col min="7" max="7" width="15.1796875" style="1"/>
    <col min="8" max="9" width="15.1796875" style="3" customWidth="1"/>
    <col min="10" max="10" width="15.1796875" style="4" customWidth="1"/>
    <col min="11" max="11" width="17.7265625" style="4" customWidth="1"/>
    <col min="12" max="12" width="15.1796875" style="4" customWidth="1"/>
    <col min="13" max="13" width="15.1796875" style="5"/>
    <col min="14" max="14" width="15.1796875" style="5" customWidth="1"/>
    <col min="15" max="16384" width="15.1796875" style="1"/>
  </cols>
  <sheetData>
    <row r="1" spans="1:16" ht="44">
      <c r="A1" s="6" t="s">
        <v>0</v>
      </c>
      <c r="B1" s="6" t="s">
        <v>1</v>
      </c>
      <c r="C1" s="6" t="s">
        <v>1706</v>
      </c>
      <c r="D1" s="15" t="s">
        <v>1707</v>
      </c>
      <c r="E1" s="16" t="s">
        <v>1718</v>
      </c>
      <c r="F1" s="16" t="s">
        <v>1720</v>
      </c>
      <c r="G1" s="7" t="s">
        <v>2</v>
      </c>
      <c r="H1" s="7" t="s">
        <v>3</v>
      </c>
      <c r="I1" s="8" t="s">
        <v>4</v>
      </c>
      <c r="J1" s="9" t="s">
        <v>5</v>
      </c>
      <c r="K1" s="9" t="s">
        <v>6</v>
      </c>
      <c r="L1" s="9" t="s">
        <v>7</v>
      </c>
      <c r="M1" s="6" t="s">
        <v>1704</v>
      </c>
      <c r="N1" s="6" t="s">
        <v>1705</v>
      </c>
      <c r="O1" s="14" t="s">
        <v>1702</v>
      </c>
      <c r="P1" s="14" t="s">
        <v>1703</v>
      </c>
    </row>
    <row r="2" spans="1:16" s="19" customFormat="1">
      <c r="A2" s="19" t="s">
        <v>8</v>
      </c>
      <c r="B2" s="19" t="s">
        <v>9</v>
      </c>
      <c r="C2" s="19">
        <v>1991</v>
      </c>
      <c r="D2" s="19" t="s">
        <v>1708</v>
      </c>
      <c r="E2" s="18">
        <v>33280</v>
      </c>
      <c r="F2" s="18" t="str">
        <f>"PEPE"&amp;C2&amp;"_"&amp;D2</f>
        <v>PEPE1991_Febrero</v>
      </c>
      <c r="G2" s="20" t="s">
        <v>1334</v>
      </c>
      <c r="H2" s="21">
        <v>7.1222222222222218</v>
      </c>
      <c r="I2" s="21">
        <v>-77.780555555555551</v>
      </c>
      <c r="J2" s="22">
        <v>32.68</v>
      </c>
      <c r="K2" s="22">
        <v>24.57</v>
      </c>
      <c r="L2" s="23">
        <v>159.1</v>
      </c>
      <c r="M2" s="24">
        <v>11</v>
      </c>
      <c r="N2" s="24">
        <v>15</v>
      </c>
      <c r="O2" s="19">
        <v>0</v>
      </c>
      <c r="P2" s="19">
        <v>4</v>
      </c>
    </row>
    <row r="3" spans="1:16" s="19" customFormat="1">
      <c r="A3" s="19" t="s">
        <v>10</v>
      </c>
      <c r="B3" s="19" t="s">
        <v>9</v>
      </c>
      <c r="C3" s="19">
        <v>1991</v>
      </c>
      <c r="D3" s="19" t="s">
        <v>1708</v>
      </c>
      <c r="E3" s="18">
        <v>33280</v>
      </c>
      <c r="F3" s="18" t="str">
        <f t="shared" ref="F3:F66" si="0">"PEPE"&amp;C3&amp;"_"&amp;D3</f>
        <v>PEPE1991_Febrero</v>
      </c>
      <c r="G3" s="20" t="s">
        <v>1335</v>
      </c>
      <c r="H3" s="21">
        <v>7.147222222222223</v>
      </c>
      <c r="I3" s="21">
        <v>-77.847222222222214</v>
      </c>
      <c r="J3" s="22">
        <v>32.61</v>
      </c>
      <c r="K3" s="22">
        <v>25.01</v>
      </c>
      <c r="L3" s="23">
        <v>571.47</v>
      </c>
      <c r="M3" s="24">
        <v>74</v>
      </c>
      <c r="N3" s="24">
        <v>589</v>
      </c>
      <c r="O3" s="19">
        <v>0</v>
      </c>
      <c r="P3" s="19">
        <v>8</v>
      </c>
    </row>
    <row r="4" spans="1:16" s="19" customFormat="1">
      <c r="A4" s="19" t="s">
        <v>11</v>
      </c>
      <c r="B4" s="19" t="s">
        <v>9</v>
      </c>
      <c r="C4" s="19">
        <v>1991</v>
      </c>
      <c r="D4" s="19" t="s">
        <v>1708</v>
      </c>
      <c r="E4" s="18">
        <v>33280</v>
      </c>
      <c r="F4" s="18" t="str">
        <f t="shared" si="0"/>
        <v>PEPE1991_Febrero</v>
      </c>
      <c r="G4" s="20" t="s">
        <v>1336</v>
      </c>
      <c r="H4" s="21">
        <v>7.15</v>
      </c>
      <c r="I4" s="21">
        <v>-77.955555555555563</v>
      </c>
      <c r="J4" s="22">
        <v>32.44</v>
      </c>
      <c r="K4" s="22">
        <v>26.4</v>
      </c>
      <c r="L4" s="23">
        <v>831.01</v>
      </c>
      <c r="M4" s="24">
        <v>60</v>
      </c>
      <c r="N4" s="24">
        <v>570</v>
      </c>
      <c r="O4" s="19">
        <v>0</v>
      </c>
      <c r="P4" s="19">
        <v>6</v>
      </c>
    </row>
    <row r="5" spans="1:16" s="19" customFormat="1">
      <c r="A5" s="19" t="s">
        <v>12</v>
      </c>
      <c r="B5" s="19" t="s">
        <v>9</v>
      </c>
      <c r="C5" s="19">
        <v>1991</v>
      </c>
      <c r="D5" s="19" t="s">
        <v>1708</v>
      </c>
      <c r="E5" s="18">
        <v>33280</v>
      </c>
      <c r="F5" s="18" t="str">
        <f t="shared" si="0"/>
        <v>PEPE1991_Febrero</v>
      </c>
      <c r="G5" s="20" t="s">
        <v>1337</v>
      </c>
      <c r="H5" s="21">
        <v>7.1483333333333334</v>
      </c>
      <c r="I5" s="21">
        <v>-78.019444444444446</v>
      </c>
      <c r="J5" s="22">
        <v>32.130000000000003</v>
      </c>
      <c r="K5" s="22">
        <v>26.49</v>
      </c>
      <c r="L5" s="23">
        <v>347.61</v>
      </c>
      <c r="M5" s="24">
        <v>0</v>
      </c>
      <c r="N5" s="24">
        <v>1145</v>
      </c>
      <c r="O5" s="19">
        <v>0</v>
      </c>
      <c r="P5" s="19">
        <v>0</v>
      </c>
    </row>
    <row r="6" spans="1:16" s="19" customFormat="1">
      <c r="A6" s="19" t="s">
        <v>13</v>
      </c>
      <c r="B6" s="19" t="s">
        <v>9</v>
      </c>
      <c r="C6" s="19">
        <v>1991</v>
      </c>
      <c r="D6" s="19" t="s">
        <v>1708</v>
      </c>
      <c r="E6" s="18">
        <v>33280</v>
      </c>
      <c r="F6" s="18" t="str">
        <f t="shared" si="0"/>
        <v>PEPE1991_Febrero</v>
      </c>
      <c r="G6" s="20" t="s">
        <v>1338</v>
      </c>
      <c r="H6" s="21">
        <v>6.9916666666666671</v>
      </c>
      <c r="I6" s="21">
        <v>-77.838888888888889</v>
      </c>
      <c r="J6" s="22">
        <v>32.83</v>
      </c>
      <c r="K6" s="22">
        <v>24.07</v>
      </c>
      <c r="L6" s="23">
        <v>362.62</v>
      </c>
      <c r="M6" s="24">
        <v>236</v>
      </c>
      <c r="N6" s="24">
        <v>694</v>
      </c>
      <c r="O6" s="19">
        <v>0</v>
      </c>
      <c r="P6" s="19">
        <v>0</v>
      </c>
    </row>
    <row r="7" spans="1:16" s="19" customFormat="1">
      <c r="A7" s="19" t="s">
        <v>14</v>
      </c>
      <c r="B7" s="19" t="s">
        <v>9</v>
      </c>
      <c r="C7" s="19">
        <v>1991</v>
      </c>
      <c r="D7" s="19" t="s">
        <v>1708</v>
      </c>
      <c r="E7" s="18">
        <v>33280</v>
      </c>
      <c r="F7" s="18" t="str">
        <f t="shared" si="0"/>
        <v>PEPE1991_Febrero</v>
      </c>
      <c r="G7" s="20" t="s">
        <v>1339</v>
      </c>
      <c r="H7" s="21">
        <v>6.9355555555555561</v>
      </c>
      <c r="I7" s="21">
        <v>-78</v>
      </c>
      <c r="J7" s="22">
        <v>32.4</v>
      </c>
      <c r="K7" s="22">
        <v>26.52</v>
      </c>
      <c r="L7" s="23">
        <v>585.03</v>
      </c>
      <c r="M7" s="24">
        <v>1119</v>
      </c>
      <c r="N7" s="24">
        <v>1032</v>
      </c>
      <c r="O7" s="19">
        <v>0</v>
      </c>
      <c r="P7" s="19">
        <v>0</v>
      </c>
    </row>
    <row r="8" spans="1:16" s="19" customFormat="1">
      <c r="A8" s="19" t="s">
        <v>15</v>
      </c>
      <c r="B8" s="19" t="s">
        <v>9</v>
      </c>
      <c r="C8" s="19">
        <v>1991</v>
      </c>
      <c r="D8" s="19" t="s">
        <v>1708</v>
      </c>
      <c r="E8" s="18">
        <v>33280</v>
      </c>
      <c r="F8" s="18" t="str">
        <f t="shared" si="0"/>
        <v>PEPE1991_Febrero</v>
      </c>
      <c r="G8" s="20" t="s">
        <v>1340</v>
      </c>
      <c r="H8" s="21">
        <v>6.8149999999999995</v>
      </c>
      <c r="I8" s="21">
        <v>-78.305555555555557</v>
      </c>
      <c r="J8" s="22">
        <v>32.92</v>
      </c>
      <c r="K8" s="22">
        <v>26.81</v>
      </c>
      <c r="L8" s="23">
        <v>340.38</v>
      </c>
      <c r="M8" s="24">
        <v>12827</v>
      </c>
      <c r="N8" s="24">
        <v>812</v>
      </c>
      <c r="O8" s="19">
        <v>0</v>
      </c>
      <c r="P8" s="19">
        <v>0</v>
      </c>
    </row>
    <row r="9" spans="1:16" s="19" customFormat="1">
      <c r="A9" s="19" t="s">
        <v>16</v>
      </c>
      <c r="B9" s="19" t="s">
        <v>9</v>
      </c>
      <c r="C9" s="19">
        <v>1991</v>
      </c>
      <c r="D9" s="19" t="s">
        <v>1708</v>
      </c>
      <c r="E9" s="18">
        <v>33281</v>
      </c>
      <c r="F9" s="18" t="str">
        <f t="shared" si="0"/>
        <v>PEPE1991_Febrero</v>
      </c>
      <c r="G9" s="20" t="s">
        <v>1341</v>
      </c>
      <c r="H9" s="21">
        <v>6.6222222222222227</v>
      </c>
      <c r="I9" s="21">
        <v>-77.475000000000009</v>
      </c>
      <c r="J9" s="22">
        <v>33.74</v>
      </c>
      <c r="K9" s="22">
        <v>21.04</v>
      </c>
      <c r="L9" s="23">
        <v>499.85</v>
      </c>
      <c r="M9" s="24">
        <v>24</v>
      </c>
      <c r="N9" s="24">
        <v>47</v>
      </c>
      <c r="O9" s="19">
        <v>0</v>
      </c>
      <c r="P9" s="19">
        <v>3</v>
      </c>
    </row>
    <row r="10" spans="1:16" s="19" customFormat="1">
      <c r="A10" s="19" t="s">
        <v>17</v>
      </c>
      <c r="B10" s="19" t="s">
        <v>9</v>
      </c>
      <c r="C10" s="19">
        <v>1991</v>
      </c>
      <c r="D10" s="19" t="s">
        <v>1708</v>
      </c>
      <c r="E10" s="18">
        <v>33281</v>
      </c>
      <c r="F10" s="18" t="str">
        <f t="shared" si="0"/>
        <v>PEPE1991_Febrero</v>
      </c>
      <c r="G10" s="20" t="s">
        <v>1342</v>
      </c>
      <c r="H10" s="21">
        <v>6.6472222222222221</v>
      </c>
      <c r="I10" s="21">
        <v>-77.530555555555551</v>
      </c>
      <c r="J10" s="22">
        <v>33.5</v>
      </c>
      <c r="K10" s="22">
        <v>21.88</v>
      </c>
      <c r="L10" s="23">
        <v>500.03</v>
      </c>
      <c r="M10" s="24">
        <v>716</v>
      </c>
      <c r="N10" s="24">
        <v>1084</v>
      </c>
      <c r="O10" s="19">
        <v>0</v>
      </c>
      <c r="P10" s="19">
        <v>0</v>
      </c>
    </row>
    <row r="11" spans="1:16" s="19" customFormat="1">
      <c r="A11" s="19" t="s">
        <v>18</v>
      </c>
      <c r="B11" s="19" t="s">
        <v>9</v>
      </c>
      <c r="C11" s="19">
        <v>1991</v>
      </c>
      <c r="D11" s="19" t="s">
        <v>1708</v>
      </c>
      <c r="E11" s="18">
        <v>33281</v>
      </c>
      <c r="F11" s="18" t="str">
        <f t="shared" si="0"/>
        <v>PEPE1991_Febrero</v>
      </c>
      <c r="G11" s="20" t="s">
        <v>1343</v>
      </c>
      <c r="H11" s="21">
        <v>6.6611111111111114</v>
      </c>
      <c r="I11" s="21">
        <v>-77.608333333333334</v>
      </c>
      <c r="J11" s="22">
        <v>33.26</v>
      </c>
      <c r="K11" s="22">
        <v>22.73</v>
      </c>
      <c r="L11" s="23">
        <v>486.9</v>
      </c>
      <c r="M11" s="24">
        <v>62</v>
      </c>
      <c r="N11" s="24">
        <v>1156</v>
      </c>
      <c r="O11" s="19">
        <v>0</v>
      </c>
      <c r="P11" s="19">
        <v>0</v>
      </c>
    </row>
    <row r="12" spans="1:16" s="19" customFormat="1">
      <c r="A12" s="19" t="s">
        <v>19</v>
      </c>
      <c r="B12" s="19" t="s">
        <v>9</v>
      </c>
      <c r="C12" s="19">
        <v>1991</v>
      </c>
      <c r="D12" s="19" t="s">
        <v>1708</v>
      </c>
      <c r="E12" s="18">
        <v>33281</v>
      </c>
      <c r="F12" s="18" t="str">
        <f t="shared" si="0"/>
        <v>PEPE1991_Febrero</v>
      </c>
      <c r="G12" s="20" t="s">
        <v>1344</v>
      </c>
      <c r="H12" s="21">
        <v>6.6972222222222229</v>
      </c>
      <c r="I12" s="21">
        <v>-77.805555555555557</v>
      </c>
      <c r="J12" s="22">
        <v>33.200000000000003</v>
      </c>
      <c r="K12" s="22">
        <v>23.76</v>
      </c>
      <c r="L12" s="23">
        <v>453.51</v>
      </c>
      <c r="M12" s="24">
        <v>10</v>
      </c>
      <c r="N12" s="24">
        <v>329</v>
      </c>
      <c r="O12" s="19">
        <v>0</v>
      </c>
      <c r="P12" s="19">
        <v>10</v>
      </c>
    </row>
    <row r="13" spans="1:16" s="19" customFormat="1">
      <c r="A13" s="19" t="s">
        <v>20</v>
      </c>
      <c r="B13" s="19" t="s">
        <v>9</v>
      </c>
      <c r="C13" s="19">
        <v>1991</v>
      </c>
      <c r="D13" s="19" t="s">
        <v>1708</v>
      </c>
      <c r="E13" s="18">
        <v>33281</v>
      </c>
      <c r="F13" s="18" t="str">
        <f t="shared" si="0"/>
        <v>PEPE1991_Febrero</v>
      </c>
      <c r="G13" s="20" t="s">
        <v>1345</v>
      </c>
      <c r="H13" s="21">
        <v>6.7333333333333334</v>
      </c>
      <c r="I13" s="21">
        <v>-78.133333333333326</v>
      </c>
      <c r="J13" s="22">
        <v>32.42</v>
      </c>
      <c r="K13" s="22">
        <v>25.61</v>
      </c>
      <c r="L13" s="23">
        <v>405.37</v>
      </c>
      <c r="M13" s="24">
        <v>353</v>
      </c>
      <c r="N13" s="24">
        <v>612</v>
      </c>
      <c r="O13" s="19">
        <v>0</v>
      </c>
      <c r="P13" s="19">
        <v>0</v>
      </c>
    </row>
    <row r="14" spans="1:16" s="19" customFormat="1">
      <c r="A14" s="19" t="s">
        <v>21</v>
      </c>
      <c r="B14" s="19" t="s">
        <v>9</v>
      </c>
      <c r="C14" s="19">
        <v>1991</v>
      </c>
      <c r="D14" s="19" t="s">
        <v>1708</v>
      </c>
      <c r="E14" s="18">
        <v>33281</v>
      </c>
      <c r="F14" s="18" t="str">
        <f t="shared" si="0"/>
        <v>PEPE1991_Febrero</v>
      </c>
      <c r="G14" s="20" t="s">
        <v>1346</v>
      </c>
      <c r="H14" s="21">
        <v>6.2888888888888888</v>
      </c>
      <c r="I14" s="21">
        <v>-77.39166666666668</v>
      </c>
      <c r="J14" s="22">
        <v>32.24</v>
      </c>
      <c r="K14" s="22">
        <v>25.46</v>
      </c>
      <c r="L14" s="23">
        <v>243.22</v>
      </c>
      <c r="M14" s="24">
        <v>37</v>
      </c>
      <c r="N14" s="24">
        <v>443</v>
      </c>
      <c r="O14" s="19">
        <v>0</v>
      </c>
      <c r="P14" s="19">
        <v>6</v>
      </c>
    </row>
    <row r="15" spans="1:16" s="19" customFormat="1">
      <c r="A15" s="19" t="s">
        <v>22</v>
      </c>
      <c r="B15" s="19" t="s">
        <v>9</v>
      </c>
      <c r="C15" s="19">
        <v>1991</v>
      </c>
      <c r="D15" s="19" t="s">
        <v>1708</v>
      </c>
      <c r="E15" s="18">
        <v>33281</v>
      </c>
      <c r="F15" s="18" t="str">
        <f t="shared" si="0"/>
        <v>PEPE1991_Febrero</v>
      </c>
      <c r="G15" s="20" t="s">
        <v>1347</v>
      </c>
      <c r="H15" s="21">
        <v>6.35</v>
      </c>
      <c r="I15" s="21">
        <v>-77.433333333333337</v>
      </c>
      <c r="J15" s="22">
        <v>32.72</v>
      </c>
      <c r="K15" s="22">
        <v>25.39</v>
      </c>
      <c r="L15" s="23">
        <v>442.74</v>
      </c>
      <c r="M15" s="24">
        <v>21</v>
      </c>
      <c r="N15" s="24">
        <v>603</v>
      </c>
      <c r="O15" s="19">
        <v>0</v>
      </c>
      <c r="P15" s="19">
        <v>0</v>
      </c>
    </row>
    <row r="16" spans="1:16" s="19" customFormat="1">
      <c r="A16" s="19" t="s">
        <v>23</v>
      </c>
      <c r="B16" s="19" t="s">
        <v>9</v>
      </c>
      <c r="C16" s="19">
        <v>1991</v>
      </c>
      <c r="D16" s="19" t="s">
        <v>1708</v>
      </c>
      <c r="E16" s="18">
        <v>33281</v>
      </c>
      <c r="F16" s="18" t="str">
        <f t="shared" si="0"/>
        <v>PEPE1991_Febrero</v>
      </c>
      <c r="G16" s="20" t="s">
        <v>1348</v>
      </c>
      <c r="H16" s="21">
        <v>6.3694444444444445</v>
      </c>
      <c r="I16" s="21">
        <v>-77.511111111111106</v>
      </c>
      <c r="J16" s="22">
        <v>32.700000000000003</v>
      </c>
      <c r="K16" s="22">
        <v>24.5</v>
      </c>
      <c r="L16" s="23">
        <v>284.5</v>
      </c>
      <c r="M16" s="24">
        <v>109</v>
      </c>
      <c r="N16" s="24">
        <v>778</v>
      </c>
      <c r="O16" s="19">
        <v>0</v>
      </c>
      <c r="P16" s="19">
        <v>0</v>
      </c>
    </row>
    <row r="17" spans="1:16" s="19" customFormat="1">
      <c r="A17" s="19" t="s">
        <v>24</v>
      </c>
      <c r="B17" s="19" t="s">
        <v>9</v>
      </c>
      <c r="C17" s="19">
        <v>1991</v>
      </c>
      <c r="D17" s="19" t="s">
        <v>1708</v>
      </c>
      <c r="E17" s="18">
        <v>33281</v>
      </c>
      <c r="F17" s="18" t="str">
        <f t="shared" si="0"/>
        <v>PEPE1991_Febrero</v>
      </c>
      <c r="G17" s="20" t="s">
        <v>1349</v>
      </c>
      <c r="H17" s="21">
        <v>6.4555555555555557</v>
      </c>
      <c r="I17" s="21">
        <v>-77.705555555555563</v>
      </c>
      <c r="J17" s="22">
        <v>33.119999999999997</v>
      </c>
      <c r="K17" s="22">
        <v>24.36</v>
      </c>
      <c r="L17" s="23">
        <v>333.63</v>
      </c>
      <c r="M17" s="24">
        <v>288</v>
      </c>
      <c r="N17" s="24">
        <v>519</v>
      </c>
      <c r="O17" s="19">
        <v>0</v>
      </c>
      <c r="P17" s="19">
        <v>0</v>
      </c>
    </row>
    <row r="18" spans="1:16" s="19" customFormat="1">
      <c r="A18" s="19" t="s">
        <v>25</v>
      </c>
      <c r="B18" s="19" t="s">
        <v>9</v>
      </c>
      <c r="C18" s="19">
        <v>1991</v>
      </c>
      <c r="D18" s="19" t="s">
        <v>1708</v>
      </c>
      <c r="E18" s="18">
        <v>33281</v>
      </c>
      <c r="F18" s="18" t="str">
        <f t="shared" si="0"/>
        <v>PEPE1991_Febrero</v>
      </c>
      <c r="G18" s="20" t="s">
        <v>1350</v>
      </c>
      <c r="H18" s="21">
        <v>6.3861111111111111</v>
      </c>
      <c r="I18" s="21">
        <v>-78</v>
      </c>
      <c r="J18" s="22">
        <v>32.61</v>
      </c>
      <c r="K18" s="22">
        <v>25.86</v>
      </c>
      <c r="L18" s="23">
        <v>446.93</v>
      </c>
      <c r="M18" s="24">
        <v>193</v>
      </c>
      <c r="N18" s="24">
        <v>461</v>
      </c>
      <c r="O18" s="19">
        <v>0</v>
      </c>
      <c r="P18" s="19">
        <v>0</v>
      </c>
    </row>
    <row r="19" spans="1:16" s="19" customFormat="1">
      <c r="A19" s="19" t="s">
        <v>26</v>
      </c>
      <c r="B19" s="19" t="s">
        <v>9</v>
      </c>
      <c r="C19" s="19">
        <v>1991</v>
      </c>
      <c r="D19" s="19" t="s">
        <v>1708</v>
      </c>
      <c r="E19" s="18">
        <v>33281</v>
      </c>
      <c r="F19" s="18" t="str">
        <f t="shared" si="0"/>
        <v>PEPE1991_Febrero</v>
      </c>
      <c r="G19" s="20" t="s">
        <v>1351</v>
      </c>
      <c r="H19" s="21">
        <v>6</v>
      </c>
      <c r="I19" s="21">
        <v>-77.38333333333334</v>
      </c>
      <c r="J19" s="22">
        <v>31.77</v>
      </c>
      <c r="K19" s="22">
        <v>26.62</v>
      </c>
      <c r="L19" s="23">
        <v>613.66999999999996</v>
      </c>
      <c r="M19" s="24">
        <v>58</v>
      </c>
      <c r="N19" s="24">
        <v>842</v>
      </c>
      <c r="O19" s="19">
        <v>0</v>
      </c>
      <c r="P19" s="19">
        <v>7</v>
      </c>
    </row>
    <row r="20" spans="1:16" s="19" customFormat="1">
      <c r="A20" s="19" t="s">
        <v>27</v>
      </c>
      <c r="B20" s="19" t="s">
        <v>9</v>
      </c>
      <c r="C20" s="19">
        <v>1991</v>
      </c>
      <c r="D20" s="19" t="s">
        <v>1708</v>
      </c>
      <c r="E20" s="18">
        <v>33281</v>
      </c>
      <c r="F20" s="18" t="str">
        <f t="shared" si="0"/>
        <v>PEPE1991_Febrero</v>
      </c>
      <c r="G20" s="20" t="s">
        <v>1352</v>
      </c>
      <c r="H20" s="21">
        <v>5.9555555555555557</v>
      </c>
      <c r="I20" s="21">
        <v>-77.466666666666669</v>
      </c>
      <c r="J20" s="22">
        <v>32.96</v>
      </c>
      <c r="K20" s="22">
        <v>24.45</v>
      </c>
      <c r="L20" s="23">
        <v>537.22</v>
      </c>
      <c r="M20" s="24">
        <v>63</v>
      </c>
      <c r="N20" s="24">
        <v>679</v>
      </c>
      <c r="O20" s="19">
        <v>0</v>
      </c>
      <c r="P20" s="19">
        <v>8</v>
      </c>
    </row>
    <row r="21" spans="1:16" s="19" customFormat="1">
      <c r="A21" s="19" t="s">
        <v>28</v>
      </c>
      <c r="B21" s="19" t="s">
        <v>9</v>
      </c>
      <c r="C21" s="19">
        <v>1991</v>
      </c>
      <c r="D21" s="19" t="s">
        <v>1708</v>
      </c>
      <c r="E21" s="18">
        <v>33282</v>
      </c>
      <c r="F21" s="18" t="str">
        <f t="shared" si="0"/>
        <v>PEPE1991_Febrero</v>
      </c>
      <c r="G21" s="20" t="s">
        <v>1353</v>
      </c>
      <c r="H21" s="21">
        <v>5.969444444444445</v>
      </c>
      <c r="I21" s="21">
        <v>-77.547222222222217</v>
      </c>
      <c r="J21" s="22">
        <v>32.9</v>
      </c>
      <c r="K21" s="22">
        <v>23.75</v>
      </c>
      <c r="L21" s="23">
        <v>567.78</v>
      </c>
      <c r="M21" s="24">
        <v>10</v>
      </c>
      <c r="N21" s="24">
        <v>961</v>
      </c>
      <c r="O21" s="19">
        <v>0</v>
      </c>
      <c r="P21" s="19">
        <v>0</v>
      </c>
    </row>
    <row r="22" spans="1:16" s="19" customFormat="1">
      <c r="A22" s="19" t="s">
        <v>29</v>
      </c>
      <c r="B22" s="19" t="s">
        <v>9</v>
      </c>
      <c r="C22" s="19">
        <v>1991</v>
      </c>
      <c r="D22" s="19" t="s">
        <v>1708</v>
      </c>
      <c r="E22" s="18">
        <v>33282</v>
      </c>
      <c r="F22" s="18" t="str">
        <f t="shared" si="0"/>
        <v>PEPE1991_Febrero</v>
      </c>
      <c r="G22" s="20" t="s">
        <v>1354</v>
      </c>
      <c r="H22" s="21">
        <v>5.9722222222222223</v>
      </c>
      <c r="I22" s="21">
        <v>-77.733333333333334</v>
      </c>
      <c r="J22" s="22">
        <v>33.020000000000003</v>
      </c>
      <c r="K22" s="22">
        <v>24.34</v>
      </c>
      <c r="L22" s="23">
        <v>349.5</v>
      </c>
      <c r="M22" s="24">
        <v>360</v>
      </c>
      <c r="N22" s="24">
        <v>410</v>
      </c>
      <c r="O22" s="19">
        <v>0</v>
      </c>
      <c r="P22" s="19">
        <v>0</v>
      </c>
    </row>
    <row r="23" spans="1:16" s="19" customFormat="1">
      <c r="A23" s="19" t="s">
        <v>30</v>
      </c>
      <c r="B23" s="19" t="s">
        <v>9</v>
      </c>
      <c r="C23" s="19">
        <v>1991</v>
      </c>
      <c r="D23" s="19" t="s">
        <v>1708</v>
      </c>
      <c r="E23" s="18">
        <v>33282</v>
      </c>
      <c r="F23" s="18" t="str">
        <f t="shared" si="0"/>
        <v>PEPE1991_Febrero</v>
      </c>
      <c r="G23" s="20" t="s">
        <v>1355</v>
      </c>
      <c r="H23" s="21">
        <v>5.9916666666666671</v>
      </c>
      <c r="I23" s="21">
        <v>-78.052777777777777</v>
      </c>
      <c r="J23" s="22">
        <v>32.909999999999997</v>
      </c>
      <c r="K23" s="22">
        <v>24.88</v>
      </c>
      <c r="L23" s="23">
        <v>735.53</v>
      </c>
      <c r="M23" s="24">
        <v>645</v>
      </c>
      <c r="N23" s="24">
        <v>1079</v>
      </c>
      <c r="O23" s="19">
        <v>0</v>
      </c>
      <c r="P23" s="19">
        <v>0</v>
      </c>
    </row>
    <row r="24" spans="1:16" s="19" customFormat="1">
      <c r="A24" s="19" t="s">
        <v>31</v>
      </c>
      <c r="B24" s="19" t="s">
        <v>9</v>
      </c>
      <c r="C24" s="19">
        <v>1991</v>
      </c>
      <c r="D24" s="19" t="s">
        <v>1708</v>
      </c>
      <c r="E24" s="18">
        <v>33282</v>
      </c>
      <c r="F24" s="18" t="str">
        <f t="shared" si="0"/>
        <v>PEPE1991_Febrero</v>
      </c>
      <c r="G24" s="20" t="s">
        <v>1356</v>
      </c>
      <c r="H24" s="21">
        <v>5.85</v>
      </c>
      <c r="I24" s="21">
        <v>-77.313888888888883</v>
      </c>
      <c r="J24" s="22">
        <v>31.89</v>
      </c>
      <c r="K24" s="22">
        <v>26.73</v>
      </c>
      <c r="L24" s="23">
        <v>303.91000000000003</v>
      </c>
      <c r="M24" s="24">
        <v>0</v>
      </c>
      <c r="N24" s="24">
        <v>57</v>
      </c>
      <c r="O24" s="19">
        <v>0</v>
      </c>
      <c r="P24" s="19">
        <v>10</v>
      </c>
    </row>
    <row r="25" spans="1:16" s="19" customFormat="1">
      <c r="A25" s="19" t="s">
        <v>32</v>
      </c>
      <c r="B25" s="19" t="s">
        <v>9</v>
      </c>
      <c r="C25" s="19">
        <v>1991</v>
      </c>
      <c r="D25" s="19" t="s">
        <v>1708</v>
      </c>
      <c r="E25" s="18">
        <v>33282</v>
      </c>
      <c r="F25" s="18" t="str">
        <f t="shared" si="0"/>
        <v>PEPE1991_Febrero</v>
      </c>
      <c r="G25" s="20" t="s">
        <v>1357</v>
      </c>
      <c r="H25" s="21">
        <v>5.8083333333333336</v>
      </c>
      <c r="I25" s="21">
        <v>-77.402777777777786</v>
      </c>
      <c r="J25" s="22">
        <v>32.69</v>
      </c>
      <c r="K25" s="22">
        <v>25.84</v>
      </c>
      <c r="L25" s="23">
        <v>656.02</v>
      </c>
      <c r="M25" s="24">
        <v>66</v>
      </c>
      <c r="N25" s="24">
        <v>1158</v>
      </c>
      <c r="O25" s="19">
        <v>0</v>
      </c>
      <c r="P25" s="19">
        <v>0</v>
      </c>
    </row>
    <row r="26" spans="1:16" s="19" customFormat="1">
      <c r="A26" s="19" t="s">
        <v>33</v>
      </c>
      <c r="B26" s="19" t="s">
        <v>9</v>
      </c>
      <c r="C26" s="19">
        <v>1991</v>
      </c>
      <c r="D26" s="19" t="s">
        <v>1708</v>
      </c>
      <c r="E26" s="18">
        <v>33282</v>
      </c>
      <c r="F26" s="18" t="str">
        <f t="shared" si="0"/>
        <v>PEPE1991_Febrero</v>
      </c>
      <c r="G26" s="20" t="s">
        <v>1358</v>
      </c>
      <c r="H26" s="21">
        <v>5.8527777777777779</v>
      </c>
      <c r="I26" s="21">
        <v>-77.50833333333334</v>
      </c>
      <c r="J26" s="22">
        <v>32.9</v>
      </c>
      <c r="K26" s="22">
        <v>25.34</v>
      </c>
      <c r="L26" s="23">
        <v>376.46</v>
      </c>
      <c r="M26" s="24">
        <v>85</v>
      </c>
      <c r="N26" s="24">
        <v>883</v>
      </c>
      <c r="O26" s="19">
        <v>0</v>
      </c>
      <c r="P26" s="19">
        <v>0</v>
      </c>
    </row>
    <row r="27" spans="1:16" s="19" customFormat="1">
      <c r="A27" s="19" t="s">
        <v>34</v>
      </c>
      <c r="B27" s="19" t="s">
        <v>9</v>
      </c>
      <c r="C27" s="19">
        <v>1991</v>
      </c>
      <c r="D27" s="19" t="s">
        <v>1708</v>
      </c>
      <c r="E27" s="18">
        <v>33282</v>
      </c>
      <c r="F27" s="18" t="str">
        <f t="shared" si="0"/>
        <v>PEPE1991_Febrero</v>
      </c>
      <c r="G27" s="20" t="s">
        <v>1359</v>
      </c>
      <c r="H27" s="21">
        <v>5.9333333333333336</v>
      </c>
      <c r="I27" s="21">
        <v>-77.63333333333334</v>
      </c>
      <c r="J27" s="22">
        <v>33.119999999999997</v>
      </c>
      <c r="K27" s="22">
        <v>23.9</v>
      </c>
      <c r="L27" s="23">
        <v>648.27</v>
      </c>
      <c r="M27" s="24">
        <v>0</v>
      </c>
      <c r="N27" s="24">
        <v>436</v>
      </c>
      <c r="O27" s="19">
        <v>0</v>
      </c>
      <c r="P27" s="19">
        <v>0</v>
      </c>
    </row>
    <row r="28" spans="1:16" s="19" customFormat="1">
      <c r="A28" s="19" t="s">
        <v>35</v>
      </c>
      <c r="B28" s="19" t="s">
        <v>9</v>
      </c>
      <c r="C28" s="19">
        <v>1991</v>
      </c>
      <c r="D28" s="19" t="s">
        <v>1708</v>
      </c>
      <c r="E28" s="18">
        <v>33282</v>
      </c>
      <c r="F28" s="18" t="str">
        <f t="shared" si="0"/>
        <v>PEPE1991_Febrero</v>
      </c>
      <c r="G28" s="20" t="s">
        <v>1360</v>
      </c>
      <c r="H28" s="21">
        <v>5.8555555555555552</v>
      </c>
      <c r="I28" s="21">
        <v>-77.975000000000009</v>
      </c>
      <c r="J28" s="22">
        <v>32.85</v>
      </c>
      <c r="K28" s="22">
        <v>24.99</v>
      </c>
      <c r="L28" s="23">
        <v>282.32</v>
      </c>
      <c r="M28" s="24">
        <v>98</v>
      </c>
      <c r="N28" s="24">
        <v>374</v>
      </c>
      <c r="O28" s="19">
        <v>0</v>
      </c>
      <c r="P28" s="19">
        <v>0</v>
      </c>
    </row>
    <row r="29" spans="1:16" s="19" customFormat="1">
      <c r="A29" s="19" t="s">
        <v>36</v>
      </c>
      <c r="B29" s="19" t="s">
        <v>9</v>
      </c>
      <c r="C29" s="19">
        <v>1991</v>
      </c>
      <c r="D29" s="19" t="s">
        <v>1708</v>
      </c>
      <c r="E29" s="18">
        <v>33282</v>
      </c>
      <c r="F29" s="18" t="str">
        <f t="shared" si="0"/>
        <v>PEPE1991_Febrero</v>
      </c>
      <c r="G29" s="20" t="s">
        <v>1361</v>
      </c>
      <c r="H29" s="21">
        <v>5.4888888888888889</v>
      </c>
      <c r="I29" s="21">
        <v>-77.636111111111106</v>
      </c>
      <c r="J29" s="22">
        <v>32.979999999999997</v>
      </c>
      <c r="K29" s="22">
        <v>24.68</v>
      </c>
      <c r="L29" s="23">
        <v>411.83</v>
      </c>
      <c r="M29" s="24">
        <v>5</v>
      </c>
      <c r="N29" s="24">
        <v>258</v>
      </c>
      <c r="O29" s="19">
        <v>0</v>
      </c>
      <c r="P29" s="19">
        <v>0</v>
      </c>
    </row>
    <row r="30" spans="1:16" s="19" customFormat="1">
      <c r="A30" s="19" t="s">
        <v>37</v>
      </c>
      <c r="B30" s="19" t="s">
        <v>9</v>
      </c>
      <c r="C30" s="19">
        <v>1991</v>
      </c>
      <c r="D30" s="19" t="s">
        <v>1708</v>
      </c>
      <c r="E30" s="18">
        <v>33282</v>
      </c>
      <c r="F30" s="18" t="str">
        <f t="shared" si="0"/>
        <v>PEPE1991_Febrero</v>
      </c>
      <c r="G30" s="20" t="s">
        <v>1362</v>
      </c>
      <c r="H30" s="21">
        <v>5.5250000000000004</v>
      </c>
      <c r="I30" s="21">
        <v>-77.741666666666674</v>
      </c>
      <c r="J30" s="22">
        <v>33.119999999999997</v>
      </c>
      <c r="K30" s="22">
        <v>24.38</v>
      </c>
      <c r="L30" s="23">
        <v>285.56</v>
      </c>
      <c r="M30" s="24">
        <v>24</v>
      </c>
      <c r="N30" s="24">
        <v>246</v>
      </c>
      <c r="O30" s="19">
        <v>0</v>
      </c>
      <c r="P30" s="19">
        <v>6</v>
      </c>
    </row>
    <row r="31" spans="1:16" s="19" customFormat="1">
      <c r="A31" s="19" t="s">
        <v>38</v>
      </c>
      <c r="B31" s="19" t="s">
        <v>9</v>
      </c>
      <c r="C31" s="19">
        <v>1991</v>
      </c>
      <c r="D31" s="19" t="s">
        <v>1708</v>
      </c>
      <c r="E31" s="18">
        <v>33282</v>
      </c>
      <c r="F31" s="18" t="str">
        <f t="shared" si="0"/>
        <v>PEPE1991_Febrero</v>
      </c>
      <c r="G31" s="20" t="s">
        <v>1363</v>
      </c>
      <c r="H31" s="21">
        <v>5.5666666666666664</v>
      </c>
      <c r="I31" s="21">
        <v>-77.905555555555566</v>
      </c>
      <c r="J31" s="22">
        <v>33.130000000000003</v>
      </c>
      <c r="K31" s="22">
        <v>24.48</v>
      </c>
      <c r="L31" s="23">
        <v>805.83</v>
      </c>
      <c r="M31" s="24">
        <v>211</v>
      </c>
      <c r="N31" s="24">
        <v>1726</v>
      </c>
      <c r="O31" s="19">
        <v>0</v>
      </c>
      <c r="P31" s="19">
        <v>0</v>
      </c>
    </row>
    <row r="32" spans="1:16" s="19" customFormat="1">
      <c r="A32" s="19" t="s">
        <v>39</v>
      </c>
      <c r="B32" s="19" t="s">
        <v>9</v>
      </c>
      <c r="C32" s="19">
        <v>1991</v>
      </c>
      <c r="D32" s="19" t="s">
        <v>1708</v>
      </c>
      <c r="E32" s="18">
        <v>33283</v>
      </c>
      <c r="F32" s="18" t="str">
        <f t="shared" si="0"/>
        <v>PEPE1991_Febrero</v>
      </c>
      <c r="G32" s="20" t="s">
        <v>1364</v>
      </c>
      <c r="H32" s="21">
        <v>5.6333333333333329</v>
      </c>
      <c r="I32" s="21">
        <v>-78.269444444444446</v>
      </c>
      <c r="J32" s="22">
        <v>33.17</v>
      </c>
      <c r="K32" s="22">
        <v>24.72</v>
      </c>
      <c r="L32" s="23">
        <v>1204.6099999999999</v>
      </c>
      <c r="M32" s="24">
        <v>376</v>
      </c>
      <c r="N32" s="24">
        <v>3032</v>
      </c>
      <c r="O32" s="19">
        <v>0</v>
      </c>
      <c r="P32" s="19">
        <v>0</v>
      </c>
    </row>
    <row r="33" spans="1:16" s="19" customFormat="1">
      <c r="A33" s="19" t="s">
        <v>40</v>
      </c>
      <c r="B33" s="19" t="s">
        <v>9</v>
      </c>
      <c r="C33" s="19">
        <v>1991</v>
      </c>
      <c r="D33" s="19" t="s">
        <v>1708</v>
      </c>
      <c r="E33" s="18">
        <v>33283</v>
      </c>
      <c r="F33" s="18" t="str">
        <f t="shared" si="0"/>
        <v>PEPE1991_Febrero</v>
      </c>
      <c r="G33" s="20" t="s">
        <v>1365</v>
      </c>
      <c r="H33" s="21">
        <v>5.3666666666666663</v>
      </c>
      <c r="I33" s="21">
        <v>-77.5</v>
      </c>
      <c r="J33" s="22">
        <v>33.369999999999997</v>
      </c>
      <c r="K33" s="22">
        <v>23.39</v>
      </c>
      <c r="L33" s="23">
        <v>479.86</v>
      </c>
      <c r="M33" s="24">
        <v>0</v>
      </c>
      <c r="N33" s="24">
        <v>437</v>
      </c>
      <c r="O33" s="19">
        <v>0</v>
      </c>
      <c r="P33" s="19">
        <v>0</v>
      </c>
    </row>
    <row r="34" spans="1:16" s="19" customFormat="1">
      <c r="A34" s="19" t="s">
        <v>41</v>
      </c>
      <c r="B34" s="19" t="s">
        <v>9</v>
      </c>
      <c r="C34" s="19">
        <v>1991</v>
      </c>
      <c r="D34" s="19" t="s">
        <v>1708</v>
      </c>
      <c r="E34" s="18">
        <v>33283</v>
      </c>
      <c r="F34" s="18" t="str">
        <f t="shared" si="0"/>
        <v>PEPE1991_Febrero</v>
      </c>
      <c r="G34" s="20" t="s">
        <v>1366</v>
      </c>
      <c r="H34" s="21">
        <v>5.3555555555555552</v>
      </c>
      <c r="I34" s="21">
        <v>-77.572222222222223</v>
      </c>
      <c r="J34" s="22">
        <v>33.6</v>
      </c>
      <c r="K34" s="22">
        <v>22.64</v>
      </c>
      <c r="L34" s="23">
        <v>292.22000000000003</v>
      </c>
      <c r="M34" s="24">
        <v>114</v>
      </c>
      <c r="N34" s="24">
        <v>358</v>
      </c>
      <c r="O34" s="19">
        <v>0</v>
      </c>
      <c r="P34" s="19">
        <v>0</v>
      </c>
    </row>
    <row r="35" spans="1:16" s="19" customFormat="1">
      <c r="A35" s="19" t="s">
        <v>42</v>
      </c>
      <c r="B35" s="19" t="s">
        <v>9</v>
      </c>
      <c r="C35" s="19">
        <v>1991</v>
      </c>
      <c r="D35" s="19" t="s">
        <v>1708</v>
      </c>
      <c r="E35" s="18">
        <v>33283</v>
      </c>
      <c r="F35" s="18" t="str">
        <f t="shared" si="0"/>
        <v>PEPE1991_Febrero</v>
      </c>
      <c r="G35" s="20" t="s">
        <v>1367</v>
      </c>
      <c r="H35" s="21">
        <v>5.3805555555555555</v>
      </c>
      <c r="I35" s="21">
        <v>-77.683333333333337</v>
      </c>
      <c r="J35" s="22">
        <v>33.47</v>
      </c>
      <c r="K35" s="22">
        <v>24.13</v>
      </c>
      <c r="L35" s="23">
        <v>557.32000000000005</v>
      </c>
      <c r="M35" s="24">
        <v>137</v>
      </c>
      <c r="N35" s="24">
        <v>737</v>
      </c>
      <c r="O35" s="19">
        <v>0</v>
      </c>
      <c r="P35" s="19">
        <v>0</v>
      </c>
    </row>
    <row r="36" spans="1:16" s="19" customFormat="1">
      <c r="A36" s="19" t="s">
        <v>43</v>
      </c>
      <c r="B36" s="19" t="s">
        <v>9</v>
      </c>
      <c r="C36" s="19">
        <v>1991</v>
      </c>
      <c r="D36" s="19" t="s">
        <v>1708</v>
      </c>
      <c r="E36" s="18">
        <v>33283</v>
      </c>
      <c r="F36" s="18" t="str">
        <f t="shared" si="0"/>
        <v>PEPE1991_Febrero</v>
      </c>
      <c r="G36" s="20" t="s">
        <v>1368</v>
      </c>
      <c r="H36" s="21">
        <v>5.5083333333333337</v>
      </c>
      <c r="I36" s="21">
        <v>-78.066666666666663</v>
      </c>
      <c r="J36" s="22">
        <v>33.14</v>
      </c>
      <c r="K36" s="22">
        <v>24.65</v>
      </c>
      <c r="L36" s="23">
        <v>674.44</v>
      </c>
      <c r="M36" s="24">
        <v>191</v>
      </c>
      <c r="N36" s="24">
        <v>1061</v>
      </c>
      <c r="O36" s="19">
        <v>0</v>
      </c>
      <c r="P36" s="19">
        <v>0</v>
      </c>
    </row>
    <row r="37" spans="1:16" s="19" customFormat="1">
      <c r="A37" s="19" t="s">
        <v>44</v>
      </c>
      <c r="B37" s="19" t="s">
        <v>45</v>
      </c>
      <c r="C37" s="19">
        <v>1991</v>
      </c>
      <c r="D37" s="19" t="s">
        <v>1709</v>
      </c>
      <c r="E37" s="18">
        <v>33305</v>
      </c>
      <c r="F37" s="18" t="str">
        <f t="shared" si="0"/>
        <v>PEPE1991_Marzo</v>
      </c>
      <c r="G37" s="19" t="s">
        <v>1369</v>
      </c>
      <c r="H37" s="21">
        <v>5.5</v>
      </c>
      <c r="I37" s="21">
        <v>-77.63333333333334</v>
      </c>
      <c r="J37" s="22">
        <v>32</v>
      </c>
      <c r="K37" s="22">
        <v>28.91</v>
      </c>
      <c r="L37" s="23">
        <v>676.07</v>
      </c>
      <c r="M37" s="24">
        <v>17</v>
      </c>
      <c r="N37" s="24">
        <v>222</v>
      </c>
      <c r="O37" s="25">
        <v>0</v>
      </c>
      <c r="P37" s="25">
        <v>0</v>
      </c>
    </row>
    <row r="38" spans="1:16" s="19" customFormat="1">
      <c r="A38" s="19" t="s">
        <v>46</v>
      </c>
      <c r="B38" s="19" t="s">
        <v>45</v>
      </c>
      <c r="C38" s="19">
        <v>1991</v>
      </c>
      <c r="D38" s="19" t="s">
        <v>1709</v>
      </c>
      <c r="E38" s="18">
        <v>33305</v>
      </c>
      <c r="F38" s="18" t="str">
        <f t="shared" si="0"/>
        <v>PEPE1991_Marzo</v>
      </c>
      <c r="G38" s="19" t="s">
        <v>1370</v>
      </c>
      <c r="H38" s="21">
        <v>5.5</v>
      </c>
      <c r="I38" s="21">
        <v>-77.716666666666669</v>
      </c>
      <c r="J38" s="22">
        <v>32</v>
      </c>
      <c r="K38" s="22">
        <v>29.34</v>
      </c>
      <c r="L38" s="23">
        <v>521.23</v>
      </c>
      <c r="M38" s="24">
        <v>60</v>
      </c>
      <c r="N38" s="24">
        <v>240</v>
      </c>
      <c r="O38" s="25">
        <v>0</v>
      </c>
      <c r="P38" s="25">
        <v>0</v>
      </c>
    </row>
    <row r="39" spans="1:16" s="19" customFormat="1">
      <c r="A39" s="19" t="s">
        <v>47</v>
      </c>
      <c r="B39" s="19" t="s">
        <v>45</v>
      </c>
      <c r="C39" s="19">
        <v>1991</v>
      </c>
      <c r="D39" s="19" t="s">
        <v>1709</v>
      </c>
      <c r="E39" s="18">
        <v>33305</v>
      </c>
      <c r="F39" s="18" t="str">
        <f t="shared" si="0"/>
        <v>PEPE1991_Marzo</v>
      </c>
      <c r="G39" s="19" t="s">
        <v>1371</v>
      </c>
      <c r="H39" s="21">
        <v>5.5</v>
      </c>
      <c r="I39" s="21">
        <v>-77.88333333333334</v>
      </c>
      <c r="J39" s="22">
        <v>31.97</v>
      </c>
      <c r="K39" s="22">
        <v>30</v>
      </c>
      <c r="L39" s="23">
        <v>510.5</v>
      </c>
      <c r="M39" s="24">
        <v>139</v>
      </c>
      <c r="N39" s="24">
        <v>228</v>
      </c>
      <c r="O39" s="25">
        <v>0</v>
      </c>
      <c r="P39" s="25">
        <v>0</v>
      </c>
    </row>
    <row r="40" spans="1:16" s="19" customFormat="1">
      <c r="A40" s="19" t="s">
        <v>48</v>
      </c>
      <c r="B40" s="19" t="s">
        <v>45</v>
      </c>
      <c r="C40" s="19">
        <v>1991</v>
      </c>
      <c r="D40" s="19" t="s">
        <v>1709</v>
      </c>
      <c r="E40" s="18">
        <v>33305</v>
      </c>
      <c r="F40" s="18" t="str">
        <f t="shared" si="0"/>
        <v>PEPE1991_Marzo</v>
      </c>
      <c r="G40" s="19" t="s">
        <v>1372</v>
      </c>
      <c r="H40" s="21">
        <v>5.5</v>
      </c>
      <c r="I40" s="21">
        <v>-78.216666666666669</v>
      </c>
      <c r="J40" s="22">
        <v>32.85</v>
      </c>
      <c r="K40" s="22">
        <v>28.08</v>
      </c>
      <c r="L40" s="23">
        <v>1038.4000000000001</v>
      </c>
      <c r="M40" s="24">
        <v>11</v>
      </c>
      <c r="N40" s="24">
        <v>77</v>
      </c>
      <c r="O40" s="25">
        <v>0</v>
      </c>
      <c r="P40" s="25">
        <v>0</v>
      </c>
    </row>
    <row r="41" spans="1:16" s="19" customFormat="1">
      <c r="A41" s="19" t="s">
        <v>49</v>
      </c>
      <c r="B41" s="19" t="s">
        <v>45</v>
      </c>
      <c r="C41" s="19">
        <v>1991</v>
      </c>
      <c r="D41" s="19" t="s">
        <v>1709</v>
      </c>
      <c r="E41" s="18">
        <v>33306</v>
      </c>
      <c r="F41" s="18" t="str">
        <f t="shared" si="0"/>
        <v>PEPE1991_Marzo</v>
      </c>
      <c r="G41" s="19" t="s">
        <v>1373</v>
      </c>
      <c r="H41" s="21">
        <v>5.333333333333333</v>
      </c>
      <c r="I41" s="21">
        <v>-77.452777777777783</v>
      </c>
      <c r="J41" s="22">
        <v>32.1</v>
      </c>
      <c r="K41" s="22">
        <v>27.94</v>
      </c>
      <c r="L41" s="23">
        <v>512.62</v>
      </c>
      <c r="M41" s="24">
        <v>2</v>
      </c>
      <c r="N41" s="24">
        <v>16</v>
      </c>
      <c r="O41" s="25">
        <v>2</v>
      </c>
      <c r="P41" s="25">
        <v>12</v>
      </c>
    </row>
    <row r="42" spans="1:16" s="19" customFormat="1">
      <c r="A42" s="19" t="s">
        <v>50</v>
      </c>
      <c r="B42" s="19" t="s">
        <v>45</v>
      </c>
      <c r="C42" s="19">
        <v>1991</v>
      </c>
      <c r="D42" s="19" t="s">
        <v>1709</v>
      </c>
      <c r="E42" s="18">
        <v>33306</v>
      </c>
      <c r="F42" s="18" t="str">
        <f t="shared" si="0"/>
        <v>PEPE1991_Marzo</v>
      </c>
      <c r="G42" s="19" t="s">
        <v>1374</v>
      </c>
      <c r="H42" s="21">
        <v>5.35</v>
      </c>
      <c r="I42" s="21">
        <v>-77.5</v>
      </c>
      <c r="J42" s="22">
        <v>32.659999999999997</v>
      </c>
      <c r="K42" s="22">
        <v>27.98</v>
      </c>
      <c r="L42" s="23">
        <v>768.56</v>
      </c>
      <c r="M42" s="24">
        <v>25</v>
      </c>
      <c r="N42" s="24">
        <v>8</v>
      </c>
      <c r="O42" s="25">
        <v>0</v>
      </c>
      <c r="P42" s="25">
        <v>3</v>
      </c>
    </row>
    <row r="43" spans="1:16" s="19" customFormat="1">
      <c r="A43" s="19" t="s">
        <v>51</v>
      </c>
      <c r="B43" s="19" t="s">
        <v>45</v>
      </c>
      <c r="C43" s="19">
        <v>1991</v>
      </c>
      <c r="D43" s="19" t="s">
        <v>1709</v>
      </c>
      <c r="E43" s="18">
        <v>33306</v>
      </c>
      <c r="F43" s="18" t="str">
        <f t="shared" si="0"/>
        <v>PEPE1991_Marzo</v>
      </c>
      <c r="G43" s="19" t="s">
        <v>1375</v>
      </c>
      <c r="H43" s="21">
        <v>5.35</v>
      </c>
      <c r="I43" s="21">
        <v>-77.580555555555549</v>
      </c>
      <c r="J43" s="22">
        <v>32.229999999999997</v>
      </c>
      <c r="K43" s="22">
        <v>27.9</v>
      </c>
      <c r="L43" s="23">
        <v>1156.19</v>
      </c>
      <c r="M43" s="24">
        <v>0</v>
      </c>
      <c r="N43" s="24">
        <v>442</v>
      </c>
      <c r="O43" s="19">
        <v>0</v>
      </c>
      <c r="P43" s="25">
        <v>0</v>
      </c>
    </row>
    <row r="44" spans="1:16" s="19" customFormat="1">
      <c r="A44" s="19" t="s">
        <v>52</v>
      </c>
      <c r="B44" s="19" t="s">
        <v>45</v>
      </c>
      <c r="C44" s="19">
        <v>1991</v>
      </c>
      <c r="D44" s="19" t="s">
        <v>1709</v>
      </c>
      <c r="E44" s="18">
        <v>33306</v>
      </c>
      <c r="F44" s="18" t="str">
        <f t="shared" si="0"/>
        <v>PEPE1991_Marzo</v>
      </c>
      <c r="G44" s="19" t="s">
        <v>1376</v>
      </c>
      <c r="H44" s="21">
        <v>5.333333333333333</v>
      </c>
      <c r="I44" s="21">
        <v>-77.705555555555563</v>
      </c>
      <c r="J44" s="22">
        <v>32.01</v>
      </c>
      <c r="K44" s="22">
        <v>27.94</v>
      </c>
      <c r="L44" s="23">
        <v>863.08</v>
      </c>
      <c r="M44" s="24">
        <v>70</v>
      </c>
      <c r="N44" s="24">
        <v>784</v>
      </c>
      <c r="O44" s="25">
        <v>0</v>
      </c>
      <c r="P44" s="25">
        <v>0</v>
      </c>
    </row>
    <row r="45" spans="1:16" s="19" customFormat="1">
      <c r="A45" s="19" t="s">
        <v>53</v>
      </c>
      <c r="B45" s="19" t="s">
        <v>45</v>
      </c>
      <c r="C45" s="19">
        <v>1991</v>
      </c>
      <c r="D45" s="19" t="s">
        <v>1709</v>
      </c>
      <c r="E45" s="18">
        <v>33305</v>
      </c>
      <c r="F45" s="18" t="str">
        <f t="shared" si="0"/>
        <v>PEPE1991_Marzo</v>
      </c>
      <c r="G45" s="19" t="s">
        <v>1377</v>
      </c>
      <c r="H45" s="21">
        <v>5.333333333333333</v>
      </c>
      <c r="I45" s="21">
        <v>-78.047222222222217</v>
      </c>
      <c r="J45" s="22">
        <v>30.53</v>
      </c>
      <c r="K45" s="22">
        <v>28.93</v>
      </c>
      <c r="L45" s="23">
        <v>433.24</v>
      </c>
      <c r="M45" s="24">
        <v>70</v>
      </c>
      <c r="N45" s="24">
        <v>743</v>
      </c>
      <c r="O45" s="25">
        <v>0</v>
      </c>
      <c r="P45" s="25">
        <v>0</v>
      </c>
    </row>
    <row r="46" spans="1:16" s="19" customFormat="1">
      <c r="A46" s="19" t="s">
        <v>54</v>
      </c>
      <c r="B46" s="19" t="s">
        <v>45</v>
      </c>
      <c r="C46" s="19">
        <v>1991</v>
      </c>
      <c r="D46" s="19" t="s">
        <v>1709</v>
      </c>
      <c r="E46" s="18">
        <v>33306</v>
      </c>
      <c r="F46" s="18" t="str">
        <f t="shared" si="0"/>
        <v>PEPE1991_Marzo</v>
      </c>
      <c r="G46" s="20" t="s">
        <v>1378</v>
      </c>
      <c r="H46" s="21">
        <v>5.166666666666667</v>
      </c>
      <c r="I46" s="21">
        <v>-77.38333333333334</v>
      </c>
      <c r="J46" s="22">
        <v>32.17</v>
      </c>
      <c r="K46" s="22">
        <v>27.69</v>
      </c>
      <c r="L46" s="23">
        <v>463.62</v>
      </c>
      <c r="M46" s="24">
        <v>107</v>
      </c>
      <c r="N46" s="24">
        <v>4</v>
      </c>
      <c r="O46" s="19">
        <v>23</v>
      </c>
      <c r="P46" s="19">
        <v>4</v>
      </c>
    </row>
    <row r="47" spans="1:16" s="19" customFormat="1">
      <c r="A47" s="19" t="s">
        <v>55</v>
      </c>
      <c r="B47" s="19" t="s">
        <v>45</v>
      </c>
      <c r="C47" s="19">
        <v>1991</v>
      </c>
      <c r="D47" s="19" t="s">
        <v>1709</v>
      </c>
      <c r="E47" s="18">
        <v>33306</v>
      </c>
      <c r="F47" s="18" t="str">
        <f t="shared" si="0"/>
        <v>PEPE1991_Marzo</v>
      </c>
      <c r="G47" s="20" t="s">
        <v>1379</v>
      </c>
      <c r="H47" s="21">
        <v>5.15</v>
      </c>
      <c r="I47" s="21">
        <v>-77.5</v>
      </c>
      <c r="J47" s="22">
        <v>32.049999999999997</v>
      </c>
      <c r="K47" s="22">
        <v>27.73</v>
      </c>
      <c r="L47" s="23">
        <v>2762.83</v>
      </c>
      <c r="M47" s="24">
        <v>5</v>
      </c>
      <c r="N47" s="24">
        <v>277</v>
      </c>
      <c r="O47" s="19">
        <v>0</v>
      </c>
      <c r="P47" s="19">
        <v>0</v>
      </c>
    </row>
    <row r="48" spans="1:16" s="19" customFormat="1">
      <c r="A48" s="19" t="s">
        <v>56</v>
      </c>
      <c r="B48" s="19" t="s">
        <v>45</v>
      </c>
      <c r="C48" s="19">
        <v>1991</v>
      </c>
      <c r="D48" s="19" t="s">
        <v>1709</v>
      </c>
      <c r="E48" s="18">
        <v>33306</v>
      </c>
      <c r="F48" s="18" t="str">
        <f t="shared" si="0"/>
        <v>PEPE1991_Marzo</v>
      </c>
      <c r="G48" s="20" t="s">
        <v>1380</v>
      </c>
      <c r="H48" s="21">
        <v>5.15</v>
      </c>
      <c r="I48" s="21">
        <v>-77.566666666666663</v>
      </c>
      <c r="J48" s="22">
        <v>31.89</v>
      </c>
      <c r="K48" s="22">
        <v>28.03</v>
      </c>
      <c r="L48" s="23">
        <v>1566.68</v>
      </c>
      <c r="M48" s="24">
        <v>26</v>
      </c>
      <c r="N48" s="24">
        <v>369</v>
      </c>
      <c r="O48" s="19">
        <v>0</v>
      </c>
      <c r="P48" s="19">
        <v>0</v>
      </c>
    </row>
    <row r="49" spans="1:16" s="19" customFormat="1">
      <c r="A49" s="19" t="s">
        <v>57</v>
      </c>
      <c r="B49" s="19" t="s">
        <v>45</v>
      </c>
      <c r="C49" s="19">
        <v>1991</v>
      </c>
      <c r="D49" s="19" t="s">
        <v>1709</v>
      </c>
      <c r="E49" s="18">
        <v>33306</v>
      </c>
      <c r="F49" s="18" t="str">
        <f t="shared" si="0"/>
        <v>PEPE1991_Marzo</v>
      </c>
      <c r="G49" s="20" t="s">
        <v>1381</v>
      </c>
      <c r="H49" s="21">
        <v>5.15</v>
      </c>
      <c r="I49" s="21">
        <v>-77.716666666666669</v>
      </c>
      <c r="J49" s="22">
        <v>30.65</v>
      </c>
      <c r="K49" s="22">
        <v>27.55</v>
      </c>
      <c r="L49" s="23">
        <v>729.14</v>
      </c>
      <c r="M49" s="24">
        <v>78</v>
      </c>
      <c r="N49" s="24">
        <v>312</v>
      </c>
      <c r="O49" s="19">
        <v>0</v>
      </c>
      <c r="P49" s="19">
        <v>0</v>
      </c>
    </row>
    <row r="50" spans="1:16" s="19" customFormat="1">
      <c r="A50" s="19" t="s">
        <v>58</v>
      </c>
      <c r="B50" s="19" t="s">
        <v>45</v>
      </c>
      <c r="C50" s="19">
        <v>1991</v>
      </c>
      <c r="D50" s="19" t="s">
        <v>1709</v>
      </c>
      <c r="E50" s="18">
        <v>33306</v>
      </c>
      <c r="F50" s="18" t="str">
        <f t="shared" si="0"/>
        <v>PEPE1991_Marzo</v>
      </c>
      <c r="G50" s="20" t="s">
        <v>1382</v>
      </c>
      <c r="H50" s="21">
        <v>5.15</v>
      </c>
      <c r="I50" s="21">
        <v>-78.13333333333334</v>
      </c>
      <c r="J50" s="22">
        <v>31.41</v>
      </c>
      <c r="K50" s="22">
        <v>27.59</v>
      </c>
      <c r="L50" s="23">
        <v>508.78</v>
      </c>
      <c r="M50" s="24">
        <v>47</v>
      </c>
      <c r="N50" s="24">
        <v>1024</v>
      </c>
      <c r="O50" s="19">
        <v>0</v>
      </c>
      <c r="P50" s="19">
        <v>0</v>
      </c>
    </row>
    <row r="51" spans="1:16" s="19" customFormat="1">
      <c r="A51" s="19" t="s">
        <v>59</v>
      </c>
      <c r="B51" s="19" t="s">
        <v>45</v>
      </c>
      <c r="C51" s="19">
        <v>1991</v>
      </c>
      <c r="D51" s="19" t="s">
        <v>1709</v>
      </c>
      <c r="E51" s="18">
        <v>33307</v>
      </c>
      <c r="F51" s="18" t="str">
        <f t="shared" si="0"/>
        <v>PEPE1991_Marzo</v>
      </c>
      <c r="G51" s="20" t="s">
        <v>1383</v>
      </c>
      <c r="H51" s="21">
        <v>5.0333333333333332</v>
      </c>
      <c r="I51" s="21">
        <v>-77.38333333333334</v>
      </c>
      <c r="J51" s="22">
        <v>29.79</v>
      </c>
      <c r="K51" s="22">
        <v>28.02</v>
      </c>
      <c r="L51" s="23">
        <v>448.02</v>
      </c>
      <c r="M51" s="24">
        <v>337</v>
      </c>
      <c r="N51" s="24">
        <v>8</v>
      </c>
      <c r="O51" s="19">
        <v>64</v>
      </c>
      <c r="P51" s="19">
        <v>0</v>
      </c>
    </row>
    <row r="52" spans="1:16" s="19" customFormat="1">
      <c r="A52" s="19" t="s">
        <v>60</v>
      </c>
      <c r="B52" s="19" t="s">
        <v>45</v>
      </c>
      <c r="C52" s="19">
        <v>1991</v>
      </c>
      <c r="D52" s="19" t="s">
        <v>1709</v>
      </c>
      <c r="E52" s="18">
        <v>33307</v>
      </c>
      <c r="F52" s="18" t="str">
        <f t="shared" si="0"/>
        <v>PEPE1991_Marzo</v>
      </c>
      <c r="G52" s="20" t="s">
        <v>1384</v>
      </c>
      <c r="H52" s="21">
        <v>5.0277777777777777</v>
      </c>
      <c r="I52" s="21">
        <v>-77.466666666666669</v>
      </c>
      <c r="J52" s="22">
        <v>31.01</v>
      </c>
      <c r="K52" s="22">
        <v>27.81</v>
      </c>
      <c r="L52" s="23">
        <v>750.04</v>
      </c>
      <c r="M52" s="24">
        <v>6651</v>
      </c>
      <c r="N52" s="24">
        <v>231</v>
      </c>
      <c r="O52" s="19">
        <v>0</v>
      </c>
      <c r="P52" s="19">
        <v>18</v>
      </c>
    </row>
    <row r="53" spans="1:16" s="19" customFormat="1">
      <c r="A53" s="19" t="s">
        <v>61</v>
      </c>
      <c r="B53" s="19" t="s">
        <v>45</v>
      </c>
      <c r="C53" s="19">
        <v>1991</v>
      </c>
      <c r="D53" s="19" t="s">
        <v>1709</v>
      </c>
      <c r="E53" s="18">
        <v>33308</v>
      </c>
      <c r="F53" s="18" t="str">
        <f t="shared" si="0"/>
        <v>PEPE1991_Marzo</v>
      </c>
      <c r="G53" s="20" t="s">
        <v>1385</v>
      </c>
      <c r="H53" s="21">
        <v>4.9833333333333334</v>
      </c>
      <c r="I53" s="21">
        <v>-77.583333333333329</v>
      </c>
      <c r="J53" s="22">
        <v>31.1</v>
      </c>
      <c r="K53" s="22">
        <v>27.85</v>
      </c>
      <c r="L53" s="23">
        <v>805.83</v>
      </c>
      <c r="M53" s="24">
        <v>0</v>
      </c>
      <c r="N53" s="24">
        <v>577</v>
      </c>
      <c r="O53" s="19">
        <v>0</v>
      </c>
      <c r="P53" s="19">
        <v>10</v>
      </c>
    </row>
    <row r="54" spans="1:16" s="19" customFormat="1">
      <c r="A54" s="19" t="s">
        <v>62</v>
      </c>
      <c r="B54" s="19" t="s">
        <v>45</v>
      </c>
      <c r="C54" s="19">
        <v>1991</v>
      </c>
      <c r="D54" s="19" t="s">
        <v>1709</v>
      </c>
      <c r="E54" s="18">
        <v>33308</v>
      </c>
      <c r="F54" s="18" t="str">
        <f t="shared" si="0"/>
        <v>PEPE1991_Marzo</v>
      </c>
      <c r="G54" s="20" t="s">
        <v>1386</v>
      </c>
      <c r="H54" s="21">
        <v>4.9666666666666668</v>
      </c>
      <c r="I54" s="21">
        <v>-77.7</v>
      </c>
      <c r="J54" s="22">
        <v>31.69</v>
      </c>
      <c r="K54" s="22">
        <v>27.78</v>
      </c>
      <c r="L54" s="23">
        <v>799.11</v>
      </c>
      <c r="M54" s="24">
        <v>0</v>
      </c>
      <c r="N54" s="24">
        <v>942</v>
      </c>
      <c r="O54" s="19">
        <v>0</v>
      </c>
      <c r="P54" s="19">
        <v>0</v>
      </c>
    </row>
    <row r="55" spans="1:16" s="19" customFormat="1">
      <c r="A55" s="19" t="s">
        <v>63</v>
      </c>
      <c r="B55" s="19" t="s">
        <v>45</v>
      </c>
      <c r="C55" s="19">
        <v>1991</v>
      </c>
      <c r="D55" s="19" t="s">
        <v>1709</v>
      </c>
      <c r="E55" s="18">
        <v>33306</v>
      </c>
      <c r="F55" s="18" t="str">
        <f t="shared" si="0"/>
        <v>PEPE1991_Marzo</v>
      </c>
      <c r="G55" s="20" t="s">
        <v>1387</v>
      </c>
      <c r="H55" s="21">
        <v>5.166666666666667</v>
      </c>
      <c r="I55" s="21">
        <v>-78.099999999999994</v>
      </c>
      <c r="J55" s="22">
        <v>31.04</v>
      </c>
      <c r="K55" s="22">
        <v>27.8</v>
      </c>
      <c r="L55" s="23">
        <v>726.98</v>
      </c>
      <c r="M55" s="24">
        <v>124</v>
      </c>
      <c r="N55" s="24">
        <v>496</v>
      </c>
      <c r="O55" s="19">
        <v>0</v>
      </c>
      <c r="P55" s="19">
        <v>0</v>
      </c>
    </row>
    <row r="56" spans="1:16" s="19" customFormat="1">
      <c r="A56" s="19" t="s">
        <v>64</v>
      </c>
      <c r="B56" s="19" t="s">
        <v>45</v>
      </c>
      <c r="C56" s="19">
        <v>1991</v>
      </c>
      <c r="D56" s="19" t="s">
        <v>1709</v>
      </c>
      <c r="E56" s="18">
        <v>33308</v>
      </c>
      <c r="F56" s="18" t="str">
        <f t="shared" si="0"/>
        <v>PEPE1991_Marzo</v>
      </c>
      <c r="G56" s="20" t="s">
        <v>1388</v>
      </c>
      <c r="H56" s="21">
        <v>4.833333333333333</v>
      </c>
      <c r="I56" s="21">
        <v>-77.36666666666666</v>
      </c>
      <c r="J56" s="22">
        <v>31.09</v>
      </c>
      <c r="K56" s="22">
        <v>28.03</v>
      </c>
      <c r="L56" s="23">
        <v>545.92999999999995</v>
      </c>
      <c r="M56" s="24">
        <v>16</v>
      </c>
      <c r="N56" s="24">
        <v>362</v>
      </c>
      <c r="O56" s="19">
        <v>0</v>
      </c>
      <c r="P56" s="19">
        <v>290</v>
      </c>
    </row>
    <row r="57" spans="1:16" s="19" customFormat="1">
      <c r="A57" s="19" t="s">
        <v>65</v>
      </c>
      <c r="B57" s="19" t="s">
        <v>45</v>
      </c>
      <c r="C57" s="19">
        <v>1991</v>
      </c>
      <c r="D57" s="19" t="s">
        <v>1709</v>
      </c>
      <c r="E57" s="18">
        <v>33308</v>
      </c>
      <c r="F57" s="18" t="str">
        <f t="shared" si="0"/>
        <v>PEPE1991_Marzo</v>
      </c>
      <c r="G57" s="20" t="s">
        <v>1389</v>
      </c>
      <c r="H57" s="21">
        <v>4.8166666666666664</v>
      </c>
      <c r="I57" s="21">
        <v>-77.483333333333334</v>
      </c>
      <c r="J57" s="22">
        <v>31.37</v>
      </c>
      <c r="K57" s="22">
        <v>28.31</v>
      </c>
      <c r="L57" s="23">
        <v>936.35</v>
      </c>
      <c r="M57" s="24">
        <v>0</v>
      </c>
      <c r="N57" s="24">
        <v>219</v>
      </c>
      <c r="O57" s="19">
        <v>0</v>
      </c>
      <c r="P57" s="19">
        <v>9</v>
      </c>
    </row>
    <row r="58" spans="1:16" s="19" customFormat="1">
      <c r="A58" s="19" t="s">
        <v>66</v>
      </c>
      <c r="B58" s="19" t="s">
        <v>45</v>
      </c>
      <c r="C58" s="19">
        <v>1991</v>
      </c>
      <c r="D58" s="19" t="s">
        <v>1709</v>
      </c>
      <c r="E58" s="18">
        <v>33308</v>
      </c>
      <c r="F58" s="18" t="str">
        <f t="shared" si="0"/>
        <v>PEPE1991_Marzo</v>
      </c>
      <c r="G58" s="20" t="s">
        <v>1390</v>
      </c>
      <c r="H58" s="21">
        <v>4.8</v>
      </c>
      <c r="I58" s="21">
        <v>-77.516666666666666</v>
      </c>
      <c r="J58" s="22">
        <v>30.21</v>
      </c>
      <c r="K58" s="22">
        <v>27.01</v>
      </c>
      <c r="L58" s="23">
        <v>788.75</v>
      </c>
      <c r="M58" s="24">
        <v>59</v>
      </c>
      <c r="N58" s="24">
        <v>361</v>
      </c>
      <c r="O58" s="19">
        <v>0</v>
      </c>
      <c r="P58" s="19">
        <v>0</v>
      </c>
    </row>
    <row r="59" spans="1:16" s="19" customFormat="1">
      <c r="A59" s="19" t="s">
        <v>67</v>
      </c>
      <c r="B59" s="19" t="s">
        <v>45</v>
      </c>
      <c r="C59" s="19">
        <v>1991</v>
      </c>
      <c r="D59" s="19" t="s">
        <v>1709</v>
      </c>
      <c r="E59" s="18">
        <v>33308</v>
      </c>
      <c r="F59" s="18" t="str">
        <f t="shared" si="0"/>
        <v>PEPE1991_Marzo</v>
      </c>
      <c r="G59" s="20" t="s">
        <v>1391</v>
      </c>
      <c r="H59" s="21">
        <v>4.7666666666666666</v>
      </c>
      <c r="I59" s="21">
        <v>-77.7</v>
      </c>
      <c r="J59" s="22">
        <v>30.58</v>
      </c>
      <c r="K59" s="22">
        <v>27.36</v>
      </c>
      <c r="L59" s="23">
        <v>712.93</v>
      </c>
      <c r="M59" s="24">
        <v>0</v>
      </c>
      <c r="N59" s="24">
        <v>122</v>
      </c>
      <c r="O59" s="19">
        <v>0</v>
      </c>
      <c r="P59" s="19">
        <v>0</v>
      </c>
    </row>
    <row r="60" spans="1:16" s="19" customFormat="1">
      <c r="A60" s="19" t="s">
        <v>68</v>
      </c>
      <c r="B60" s="19" t="s">
        <v>45</v>
      </c>
      <c r="C60" s="19">
        <v>1991</v>
      </c>
      <c r="D60" s="19" t="s">
        <v>1709</v>
      </c>
      <c r="E60" s="18">
        <v>33308</v>
      </c>
      <c r="F60" s="18" t="str">
        <f t="shared" si="0"/>
        <v>PEPE1991_Marzo</v>
      </c>
      <c r="G60" s="20" t="s">
        <v>1392</v>
      </c>
      <c r="H60" s="21">
        <v>4.75</v>
      </c>
      <c r="I60" s="21">
        <v>-78.016666666666666</v>
      </c>
      <c r="J60" s="22">
        <v>32.409999999999997</v>
      </c>
      <c r="K60" s="22">
        <v>27.36</v>
      </c>
      <c r="L60" s="23">
        <v>1376.62</v>
      </c>
      <c r="M60" s="24">
        <v>0</v>
      </c>
      <c r="N60" s="24">
        <v>291</v>
      </c>
      <c r="O60" s="19">
        <v>0</v>
      </c>
      <c r="P60" s="19">
        <v>0</v>
      </c>
    </row>
    <row r="61" spans="1:16" s="19" customFormat="1">
      <c r="A61" s="19" t="s">
        <v>69</v>
      </c>
      <c r="B61" s="19" t="s">
        <v>45</v>
      </c>
      <c r="C61" s="19">
        <v>1991</v>
      </c>
      <c r="D61" s="19" t="s">
        <v>1709</v>
      </c>
      <c r="E61" s="18">
        <v>33308</v>
      </c>
      <c r="F61" s="18" t="str">
        <f t="shared" si="0"/>
        <v>PEPE1991_Marzo</v>
      </c>
      <c r="G61" s="20" t="s">
        <v>1393</v>
      </c>
      <c r="H61" s="21">
        <v>4.666666666666667</v>
      </c>
      <c r="I61" s="21">
        <v>-77.36666666666666</v>
      </c>
      <c r="J61" s="22">
        <v>30.36</v>
      </c>
      <c r="K61" s="22">
        <v>29.28</v>
      </c>
      <c r="L61" s="23">
        <v>1263.1300000000001</v>
      </c>
      <c r="M61" s="24">
        <v>1</v>
      </c>
      <c r="N61" s="24">
        <v>145</v>
      </c>
      <c r="O61" s="19">
        <v>0</v>
      </c>
      <c r="P61" s="19">
        <v>46</v>
      </c>
    </row>
    <row r="62" spans="1:16" s="19" customFormat="1">
      <c r="A62" s="19" t="s">
        <v>70</v>
      </c>
      <c r="B62" s="19" t="s">
        <v>45</v>
      </c>
      <c r="C62" s="19">
        <v>1991</v>
      </c>
      <c r="D62" s="19" t="s">
        <v>1709</v>
      </c>
      <c r="E62" s="18">
        <v>33308</v>
      </c>
      <c r="F62" s="18" t="str">
        <f t="shared" si="0"/>
        <v>PEPE1991_Marzo</v>
      </c>
      <c r="G62" s="20" t="s">
        <v>1394</v>
      </c>
      <c r="H62" s="21">
        <v>4.6333333333333329</v>
      </c>
      <c r="I62" s="21">
        <v>-77.433333333333337</v>
      </c>
      <c r="J62" s="22">
        <v>30.76</v>
      </c>
      <c r="K62" s="22">
        <v>28.45</v>
      </c>
      <c r="L62" s="23">
        <v>2063.88</v>
      </c>
      <c r="M62" s="24">
        <v>20</v>
      </c>
      <c r="N62" s="24">
        <v>159</v>
      </c>
      <c r="O62" s="19">
        <v>0</v>
      </c>
      <c r="P62" s="19">
        <v>0</v>
      </c>
    </row>
    <row r="63" spans="1:16" s="19" customFormat="1">
      <c r="A63" s="19" t="s">
        <v>71</v>
      </c>
      <c r="B63" s="19" t="s">
        <v>45</v>
      </c>
      <c r="C63" s="19">
        <v>1991</v>
      </c>
      <c r="D63" s="19" t="s">
        <v>1709</v>
      </c>
      <c r="E63" s="18">
        <v>33308</v>
      </c>
      <c r="F63" s="18" t="str">
        <f t="shared" si="0"/>
        <v>PEPE1991_Marzo</v>
      </c>
      <c r="G63" s="20" t="s">
        <v>1395</v>
      </c>
      <c r="H63" s="21">
        <v>4.6222222222222227</v>
      </c>
      <c r="I63" s="21">
        <v>-77.522222222222226</v>
      </c>
      <c r="J63" s="22">
        <v>30.65</v>
      </c>
      <c r="K63" s="22">
        <v>29.24</v>
      </c>
      <c r="L63" s="23">
        <v>460.89</v>
      </c>
      <c r="M63" s="24">
        <v>54</v>
      </c>
      <c r="N63" s="24">
        <v>269</v>
      </c>
      <c r="O63" s="19">
        <v>0</v>
      </c>
      <c r="P63" s="19">
        <v>0</v>
      </c>
    </row>
    <row r="64" spans="1:16" s="19" customFormat="1">
      <c r="A64" s="19" t="s">
        <v>72</v>
      </c>
      <c r="B64" s="19" t="s">
        <v>45</v>
      </c>
      <c r="C64" s="19">
        <v>1991</v>
      </c>
      <c r="D64" s="19" t="s">
        <v>1709</v>
      </c>
      <c r="E64" s="18">
        <v>33308</v>
      </c>
      <c r="F64" s="18" t="str">
        <f t="shared" si="0"/>
        <v>PEPE1991_Marzo</v>
      </c>
      <c r="G64" s="20" t="s">
        <v>1396</v>
      </c>
      <c r="H64" s="21">
        <v>4.6500000000000004</v>
      </c>
      <c r="I64" s="21">
        <v>-77.683333333333337</v>
      </c>
      <c r="J64" s="22">
        <v>31.78</v>
      </c>
      <c r="K64" s="22">
        <v>28.91</v>
      </c>
      <c r="L64" s="23">
        <v>2048.19</v>
      </c>
      <c r="M64" s="24">
        <v>0</v>
      </c>
      <c r="N64" s="24">
        <v>258</v>
      </c>
      <c r="O64" s="19">
        <v>0</v>
      </c>
      <c r="P64" s="19">
        <v>0</v>
      </c>
    </row>
    <row r="65" spans="1:16" s="19" customFormat="1">
      <c r="A65" s="19" t="s">
        <v>73</v>
      </c>
      <c r="B65" s="19" t="s">
        <v>45</v>
      </c>
      <c r="C65" s="19">
        <v>1991</v>
      </c>
      <c r="D65" s="19" t="s">
        <v>1709</v>
      </c>
      <c r="E65" s="18">
        <v>33308</v>
      </c>
      <c r="F65" s="18" t="str">
        <f t="shared" si="0"/>
        <v>PEPE1991_Marzo</v>
      </c>
      <c r="G65" s="20" t="s">
        <v>1397</v>
      </c>
      <c r="H65" s="21">
        <v>4.6500000000000004</v>
      </c>
      <c r="I65" s="21">
        <v>-77.983333333333334</v>
      </c>
      <c r="J65" s="22">
        <v>32.200000000000003</v>
      </c>
      <c r="K65" s="22">
        <v>27.7</v>
      </c>
      <c r="L65" s="23">
        <v>1447.28</v>
      </c>
      <c r="M65" s="24">
        <v>89</v>
      </c>
      <c r="N65" s="24">
        <v>1318</v>
      </c>
      <c r="O65" s="19">
        <v>0</v>
      </c>
      <c r="P65" s="19">
        <v>0</v>
      </c>
    </row>
    <row r="66" spans="1:16" s="19" customFormat="1">
      <c r="A66" s="19" t="s">
        <v>74</v>
      </c>
      <c r="B66" s="19" t="s">
        <v>45</v>
      </c>
      <c r="C66" s="19">
        <v>1991</v>
      </c>
      <c r="D66" s="19" t="s">
        <v>1709</v>
      </c>
      <c r="E66" s="18">
        <v>33309</v>
      </c>
      <c r="F66" s="18" t="str">
        <f t="shared" si="0"/>
        <v>PEPE1991_Marzo</v>
      </c>
      <c r="G66" s="20" t="s">
        <v>1398</v>
      </c>
      <c r="H66" s="21">
        <v>4.5333333333333332</v>
      </c>
      <c r="I66" s="21">
        <v>-77.36666666666666</v>
      </c>
      <c r="J66" s="22">
        <v>30</v>
      </c>
      <c r="K66" s="22">
        <v>28.32</v>
      </c>
      <c r="L66" s="23">
        <v>515.14</v>
      </c>
      <c r="M66" s="24">
        <v>1567</v>
      </c>
      <c r="N66" s="24">
        <v>6</v>
      </c>
      <c r="O66" s="19">
        <v>0</v>
      </c>
      <c r="P66" s="19">
        <v>4</v>
      </c>
    </row>
    <row r="67" spans="1:16" s="19" customFormat="1">
      <c r="A67" s="19" t="s">
        <v>75</v>
      </c>
      <c r="B67" s="19" t="s">
        <v>45</v>
      </c>
      <c r="C67" s="19">
        <v>1991</v>
      </c>
      <c r="D67" s="19" t="s">
        <v>1709</v>
      </c>
      <c r="E67" s="18">
        <v>33309</v>
      </c>
      <c r="F67" s="18" t="str">
        <f t="shared" ref="F67:F130" si="1">"PEPE"&amp;C67&amp;"_"&amp;D67</f>
        <v>PEPE1991_Marzo</v>
      </c>
      <c r="G67" s="20" t="s">
        <v>1399</v>
      </c>
      <c r="H67" s="21">
        <v>4.5333333333333332</v>
      </c>
      <c r="I67" s="21">
        <v>-77.433333333333337</v>
      </c>
      <c r="J67" s="22">
        <v>30.25</v>
      </c>
      <c r="K67" s="22">
        <v>28.18</v>
      </c>
      <c r="L67" s="23">
        <v>681.85</v>
      </c>
      <c r="M67" s="24">
        <v>540</v>
      </c>
      <c r="N67" s="24">
        <v>195</v>
      </c>
      <c r="O67" s="19">
        <v>249</v>
      </c>
      <c r="P67" s="19">
        <v>167</v>
      </c>
    </row>
    <row r="68" spans="1:16" s="19" customFormat="1">
      <c r="A68" s="19" t="s">
        <v>76</v>
      </c>
      <c r="B68" s="19" t="s">
        <v>45</v>
      </c>
      <c r="C68" s="19">
        <v>1991</v>
      </c>
      <c r="D68" s="19" t="s">
        <v>1709</v>
      </c>
      <c r="E68" s="18">
        <v>33309</v>
      </c>
      <c r="F68" s="18" t="str">
        <f t="shared" si="1"/>
        <v>PEPE1991_Marzo</v>
      </c>
      <c r="G68" s="20" t="s">
        <v>1400</v>
      </c>
      <c r="H68" s="21">
        <v>4.5333333333333332</v>
      </c>
      <c r="I68" s="21">
        <v>-77.483333333333334</v>
      </c>
      <c r="J68" s="22">
        <v>30.1</v>
      </c>
      <c r="K68" s="22">
        <v>28.43</v>
      </c>
      <c r="L68" s="23">
        <v>543</v>
      </c>
      <c r="M68" s="24">
        <v>11</v>
      </c>
      <c r="N68" s="24">
        <v>252</v>
      </c>
      <c r="O68" s="19">
        <v>0</v>
      </c>
      <c r="P68" s="19">
        <v>5</v>
      </c>
    </row>
    <row r="69" spans="1:16" s="19" customFormat="1">
      <c r="A69" s="19" t="s">
        <v>77</v>
      </c>
      <c r="B69" s="19" t="s">
        <v>45</v>
      </c>
      <c r="C69" s="19">
        <v>1991</v>
      </c>
      <c r="D69" s="19" t="s">
        <v>1709</v>
      </c>
      <c r="E69" s="18">
        <v>33309</v>
      </c>
      <c r="F69" s="18" t="str">
        <f t="shared" si="1"/>
        <v>PEPE1991_Marzo</v>
      </c>
      <c r="G69" s="20" t="s">
        <v>1401</v>
      </c>
      <c r="H69" s="21">
        <v>4.5333333333333332</v>
      </c>
      <c r="I69" s="21">
        <v>-77.688888888888897</v>
      </c>
      <c r="J69" s="22">
        <v>31.77</v>
      </c>
      <c r="K69" s="22">
        <v>27.97</v>
      </c>
      <c r="L69" s="23">
        <v>1714.28</v>
      </c>
      <c r="M69" s="24">
        <v>431</v>
      </c>
      <c r="N69" s="24">
        <v>757</v>
      </c>
      <c r="O69" s="19">
        <v>0</v>
      </c>
      <c r="P69" s="19">
        <v>0</v>
      </c>
    </row>
    <row r="70" spans="1:16" s="19" customFormat="1">
      <c r="A70" s="19" t="s">
        <v>78</v>
      </c>
      <c r="B70" s="19" t="s">
        <v>45</v>
      </c>
      <c r="C70" s="19">
        <v>1991</v>
      </c>
      <c r="D70" s="19" t="s">
        <v>1709</v>
      </c>
      <c r="E70" s="18">
        <v>33308</v>
      </c>
      <c r="F70" s="18" t="str">
        <f t="shared" si="1"/>
        <v>PEPE1991_Marzo</v>
      </c>
      <c r="G70" s="20" t="s">
        <v>1402</v>
      </c>
      <c r="H70" s="21">
        <v>4.5</v>
      </c>
      <c r="I70" s="21">
        <v>-77.966666666666669</v>
      </c>
      <c r="J70" s="22">
        <v>32.409999999999997</v>
      </c>
      <c r="K70" s="22">
        <v>27.89</v>
      </c>
      <c r="L70" s="23">
        <v>352.4</v>
      </c>
      <c r="M70" s="24">
        <v>0</v>
      </c>
      <c r="N70" s="24">
        <v>179</v>
      </c>
      <c r="O70" s="19">
        <v>0</v>
      </c>
      <c r="P70" s="19">
        <v>0</v>
      </c>
    </row>
    <row r="71" spans="1:16" s="19" customFormat="1">
      <c r="A71" s="19" t="s">
        <v>79</v>
      </c>
      <c r="B71" s="19" t="s">
        <v>45</v>
      </c>
      <c r="C71" s="19">
        <v>1991</v>
      </c>
      <c r="D71" s="19" t="s">
        <v>1709</v>
      </c>
      <c r="E71" s="18">
        <v>33310</v>
      </c>
      <c r="F71" s="18" t="str">
        <f t="shared" si="1"/>
        <v>PEPE1991_Marzo</v>
      </c>
      <c r="G71" s="20" t="s">
        <v>1403</v>
      </c>
      <c r="H71" s="21">
        <v>4.333333333333333</v>
      </c>
      <c r="I71" s="21">
        <v>-77.5</v>
      </c>
      <c r="J71" s="22">
        <v>28.43</v>
      </c>
      <c r="K71" s="22">
        <v>28.26</v>
      </c>
      <c r="L71" s="23">
        <v>177.78</v>
      </c>
      <c r="M71" s="24">
        <v>112</v>
      </c>
      <c r="N71" s="24">
        <v>255</v>
      </c>
      <c r="O71" s="19">
        <v>68</v>
      </c>
      <c r="P71" s="19">
        <v>244</v>
      </c>
    </row>
    <row r="72" spans="1:16" s="19" customFormat="1">
      <c r="A72" s="19" t="s">
        <v>80</v>
      </c>
      <c r="B72" s="19" t="s">
        <v>45</v>
      </c>
      <c r="C72" s="19">
        <v>1991</v>
      </c>
      <c r="D72" s="19" t="s">
        <v>1709</v>
      </c>
      <c r="E72" s="18">
        <v>33310</v>
      </c>
      <c r="F72" s="18" t="str">
        <f t="shared" si="1"/>
        <v>PEPE1991_Marzo</v>
      </c>
      <c r="G72" s="20" t="s">
        <v>1404</v>
      </c>
      <c r="H72" s="21">
        <v>4.333333333333333</v>
      </c>
      <c r="I72" s="21">
        <v>-77.55</v>
      </c>
      <c r="J72" s="22">
        <v>32.43</v>
      </c>
      <c r="K72" s="22">
        <v>26.99</v>
      </c>
      <c r="L72" s="23">
        <v>421.43</v>
      </c>
      <c r="M72" s="24">
        <v>9</v>
      </c>
      <c r="N72" s="24">
        <v>451</v>
      </c>
      <c r="O72" s="19">
        <v>0</v>
      </c>
      <c r="P72" s="19">
        <v>0</v>
      </c>
    </row>
    <row r="73" spans="1:16" s="19" customFormat="1">
      <c r="A73" s="19" t="s">
        <v>81</v>
      </c>
      <c r="B73" s="19" t="s">
        <v>45</v>
      </c>
      <c r="C73" s="19">
        <v>1991</v>
      </c>
      <c r="D73" s="19" t="s">
        <v>1709</v>
      </c>
      <c r="E73" s="18">
        <v>33310</v>
      </c>
      <c r="F73" s="18" t="str">
        <f t="shared" si="1"/>
        <v>PEPE1991_Marzo</v>
      </c>
      <c r="G73" s="20" t="s">
        <v>1405</v>
      </c>
      <c r="H73" s="21">
        <v>4.333333333333333</v>
      </c>
      <c r="I73" s="21">
        <v>-77.683333333333337</v>
      </c>
      <c r="J73" s="22">
        <v>30.91</v>
      </c>
      <c r="K73" s="22">
        <v>28.1</v>
      </c>
      <c r="L73" s="23">
        <v>539.54999999999995</v>
      </c>
      <c r="M73" s="24">
        <v>0</v>
      </c>
      <c r="N73" s="24">
        <v>968</v>
      </c>
      <c r="O73" s="19">
        <v>0</v>
      </c>
      <c r="P73" s="19">
        <v>0</v>
      </c>
    </row>
    <row r="74" spans="1:16" s="19" customFormat="1">
      <c r="A74" s="19" t="s">
        <v>82</v>
      </c>
      <c r="B74" s="19" t="s">
        <v>45</v>
      </c>
      <c r="C74" s="19">
        <v>1991</v>
      </c>
      <c r="D74" s="19" t="s">
        <v>1709</v>
      </c>
      <c r="E74" s="18">
        <v>33310</v>
      </c>
      <c r="F74" s="18" t="str">
        <f t="shared" si="1"/>
        <v>PEPE1991_Marzo</v>
      </c>
      <c r="G74" s="20" t="s">
        <v>1406</v>
      </c>
      <c r="H74" s="21">
        <v>4.3166666666666664</v>
      </c>
      <c r="I74" s="21">
        <v>-77.816666666666663</v>
      </c>
      <c r="J74" s="22">
        <v>27.34</v>
      </c>
      <c r="K74" s="22">
        <v>27.87</v>
      </c>
      <c r="L74" s="23">
        <v>623.54</v>
      </c>
      <c r="M74" s="24">
        <v>129</v>
      </c>
      <c r="N74" s="24">
        <v>313</v>
      </c>
      <c r="O74" s="19">
        <v>0</v>
      </c>
      <c r="P74" s="19">
        <v>0</v>
      </c>
    </row>
    <row r="75" spans="1:16" s="19" customFormat="1">
      <c r="A75" s="19" t="s">
        <v>83</v>
      </c>
      <c r="B75" s="19" t="s">
        <v>45</v>
      </c>
      <c r="C75" s="19">
        <v>1991</v>
      </c>
      <c r="D75" s="19" t="s">
        <v>1709</v>
      </c>
      <c r="E75" s="18">
        <v>33310</v>
      </c>
      <c r="F75" s="18" t="str">
        <f t="shared" si="1"/>
        <v>PEPE1991_Marzo</v>
      </c>
      <c r="G75" s="20" t="s">
        <v>1407</v>
      </c>
      <c r="H75" s="21">
        <v>4.3166666666666664</v>
      </c>
      <c r="I75" s="21">
        <v>-78.177777777777777</v>
      </c>
      <c r="J75" s="22">
        <v>30.62</v>
      </c>
      <c r="K75" s="22">
        <v>28.17</v>
      </c>
      <c r="L75" s="23">
        <v>548.67999999999995</v>
      </c>
      <c r="M75" s="24">
        <v>79</v>
      </c>
      <c r="N75" s="24">
        <v>544</v>
      </c>
      <c r="O75" s="19">
        <v>0</v>
      </c>
      <c r="P75" s="19">
        <v>0</v>
      </c>
    </row>
    <row r="76" spans="1:16" s="19" customFormat="1">
      <c r="A76" s="19" t="s">
        <v>84</v>
      </c>
      <c r="B76" s="19" t="s">
        <v>45</v>
      </c>
      <c r="C76" s="19">
        <v>1991</v>
      </c>
      <c r="D76" s="19" t="s">
        <v>1709</v>
      </c>
      <c r="E76" s="18">
        <v>33310</v>
      </c>
      <c r="F76" s="18" t="str">
        <f t="shared" si="1"/>
        <v>PEPE1991_Marzo</v>
      </c>
      <c r="G76" s="20" t="s">
        <v>1408</v>
      </c>
      <c r="H76" s="21">
        <v>4.2083333333333339</v>
      </c>
      <c r="I76" s="21">
        <v>-77.575000000000003</v>
      </c>
      <c r="J76" s="22">
        <v>30.05</v>
      </c>
      <c r="K76" s="22">
        <v>28.61</v>
      </c>
      <c r="L76" s="23">
        <v>81.62</v>
      </c>
      <c r="M76" s="24">
        <v>0</v>
      </c>
      <c r="N76" s="24">
        <v>9</v>
      </c>
      <c r="O76" s="19">
        <v>0</v>
      </c>
      <c r="P76" s="19">
        <v>4</v>
      </c>
    </row>
    <row r="77" spans="1:16" s="19" customFormat="1">
      <c r="A77" s="19" t="s">
        <v>85</v>
      </c>
      <c r="B77" s="19" t="s">
        <v>45</v>
      </c>
      <c r="C77" s="19">
        <v>1991</v>
      </c>
      <c r="D77" s="19" t="s">
        <v>1709</v>
      </c>
      <c r="E77" s="18">
        <v>33310</v>
      </c>
      <c r="F77" s="18" t="str">
        <f t="shared" si="1"/>
        <v>PEPE1991_Marzo</v>
      </c>
      <c r="G77" s="20" t="s">
        <v>1409</v>
      </c>
      <c r="H77" s="21">
        <v>4.2055555555555557</v>
      </c>
      <c r="I77" s="21">
        <v>-77.608333333333334</v>
      </c>
      <c r="J77" s="22">
        <v>28.73</v>
      </c>
      <c r="K77" s="22">
        <v>28.42</v>
      </c>
      <c r="L77" s="23">
        <v>1707.16</v>
      </c>
      <c r="M77" s="24">
        <v>9</v>
      </c>
      <c r="N77" s="24">
        <v>927</v>
      </c>
      <c r="O77" s="19">
        <v>0</v>
      </c>
      <c r="P77" s="19">
        <v>9</v>
      </c>
    </row>
    <row r="78" spans="1:16" s="19" customFormat="1">
      <c r="A78" s="19" t="s">
        <v>86</v>
      </c>
      <c r="B78" s="19" t="s">
        <v>45</v>
      </c>
      <c r="C78" s="19">
        <v>1991</v>
      </c>
      <c r="D78" s="19" t="s">
        <v>1709</v>
      </c>
      <c r="E78" s="18">
        <v>33310</v>
      </c>
      <c r="F78" s="18" t="str">
        <f t="shared" si="1"/>
        <v>PEPE1991_Marzo</v>
      </c>
      <c r="G78" s="20" t="s">
        <v>1410</v>
      </c>
      <c r="H78" s="21">
        <v>4.2027777777777784</v>
      </c>
      <c r="I78" s="21">
        <v>-77.680555555555557</v>
      </c>
      <c r="J78" s="22">
        <v>26.94</v>
      </c>
      <c r="K78" s="22">
        <v>29.14</v>
      </c>
      <c r="L78" s="23">
        <v>577.35</v>
      </c>
      <c r="M78" s="24">
        <v>28</v>
      </c>
      <c r="N78" s="24">
        <v>1203</v>
      </c>
      <c r="O78" s="19">
        <v>0</v>
      </c>
      <c r="P78" s="19">
        <v>0</v>
      </c>
    </row>
    <row r="79" spans="1:16" s="19" customFormat="1">
      <c r="A79" s="19" t="s">
        <v>87</v>
      </c>
      <c r="B79" s="19" t="s">
        <v>45</v>
      </c>
      <c r="C79" s="19">
        <v>1991</v>
      </c>
      <c r="D79" s="19" t="s">
        <v>1709</v>
      </c>
      <c r="E79" s="18">
        <v>33310</v>
      </c>
      <c r="F79" s="18" t="str">
        <f t="shared" si="1"/>
        <v>PEPE1991_Marzo</v>
      </c>
      <c r="G79" s="20" t="s">
        <v>1411</v>
      </c>
      <c r="H79" s="21">
        <v>4.1861111111111118</v>
      </c>
      <c r="I79" s="21">
        <v>-77.86666666666666</v>
      </c>
      <c r="J79" s="22">
        <v>29.81</v>
      </c>
      <c r="K79" s="22">
        <v>28.45</v>
      </c>
      <c r="L79" s="23">
        <v>2724.24</v>
      </c>
      <c r="M79" s="24">
        <v>0</v>
      </c>
      <c r="N79" s="24">
        <v>168</v>
      </c>
      <c r="O79" s="19">
        <v>0</v>
      </c>
      <c r="P79" s="19">
        <v>0</v>
      </c>
    </row>
    <row r="80" spans="1:16" s="19" customFormat="1">
      <c r="A80" s="19" t="s">
        <v>88</v>
      </c>
      <c r="B80" s="19" t="s">
        <v>45</v>
      </c>
      <c r="C80" s="19">
        <v>1991</v>
      </c>
      <c r="D80" s="19" t="s">
        <v>1709</v>
      </c>
      <c r="E80" s="18">
        <v>33310</v>
      </c>
      <c r="F80" s="18" t="str">
        <f t="shared" si="1"/>
        <v>PEPE1991_Marzo</v>
      </c>
      <c r="G80" s="20" t="s">
        <v>1412</v>
      </c>
      <c r="H80" s="21">
        <v>4.166666666666667</v>
      </c>
      <c r="I80" s="21">
        <v>-78.222222222222229</v>
      </c>
      <c r="J80" s="22">
        <v>32.43</v>
      </c>
      <c r="K80" s="22">
        <v>28.24</v>
      </c>
      <c r="L80" s="23">
        <v>553.04999999999995</v>
      </c>
      <c r="M80" s="24">
        <v>164</v>
      </c>
      <c r="N80" s="24">
        <v>215</v>
      </c>
      <c r="O80" s="19">
        <v>0</v>
      </c>
      <c r="P80" s="19">
        <v>0</v>
      </c>
    </row>
    <row r="81" spans="1:16" s="19" customFormat="1">
      <c r="A81" s="19" t="s">
        <v>89</v>
      </c>
      <c r="B81" s="19" t="s">
        <v>45</v>
      </c>
      <c r="C81" s="19">
        <v>1991</v>
      </c>
      <c r="D81" s="19" t="s">
        <v>1709</v>
      </c>
      <c r="E81" s="18">
        <v>33310</v>
      </c>
      <c r="F81" s="18" t="str">
        <f t="shared" si="1"/>
        <v>PEPE1991_Marzo</v>
      </c>
      <c r="G81" s="20" t="s">
        <v>1413</v>
      </c>
      <c r="H81" s="21">
        <v>4.0166666666666666</v>
      </c>
      <c r="I81" s="21">
        <v>-77.463888888888889</v>
      </c>
      <c r="J81" s="22">
        <v>29.5</v>
      </c>
      <c r="K81" s="22">
        <v>28.3</v>
      </c>
      <c r="L81" s="23">
        <v>410.52</v>
      </c>
      <c r="M81" s="24">
        <v>1358</v>
      </c>
      <c r="N81" s="24">
        <v>45</v>
      </c>
      <c r="O81" s="19">
        <v>89</v>
      </c>
      <c r="P81" s="19">
        <v>13</v>
      </c>
    </row>
    <row r="82" spans="1:16" s="19" customFormat="1">
      <c r="A82" s="19" t="s">
        <v>90</v>
      </c>
      <c r="B82" s="19" t="s">
        <v>45</v>
      </c>
      <c r="C82" s="19">
        <v>1991</v>
      </c>
      <c r="D82" s="19" t="s">
        <v>1709</v>
      </c>
      <c r="E82" s="18">
        <v>33310</v>
      </c>
      <c r="F82" s="18" t="str">
        <f t="shared" si="1"/>
        <v>PEPE1991_Marzo</v>
      </c>
      <c r="G82" s="20" t="s">
        <v>1414</v>
      </c>
      <c r="H82" s="21">
        <v>3.9861111111111112</v>
      </c>
      <c r="I82" s="21">
        <v>-77.538888888888891</v>
      </c>
      <c r="J82" s="22">
        <v>28.13</v>
      </c>
      <c r="K82" s="22">
        <v>28.21</v>
      </c>
      <c r="L82" s="23">
        <v>1004.75</v>
      </c>
      <c r="M82" s="24">
        <v>0</v>
      </c>
      <c r="N82" s="24">
        <v>471</v>
      </c>
      <c r="O82" s="19">
        <v>0</v>
      </c>
      <c r="P82" s="19">
        <v>41</v>
      </c>
    </row>
    <row r="83" spans="1:16" s="19" customFormat="1">
      <c r="A83" s="19" t="s">
        <v>91</v>
      </c>
      <c r="B83" s="19" t="s">
        <v>45</v>
      </c>
      <c r="C83" s="19">
        <v>1991</v>
      </c>
      <c r="D83" s="19" t="s">
        <v>1709</v>
      </c>
      <c r="E83" s="18">
        <v>33311</v>
      </c>
      <c r="F83" s="18" t="str">
        <f t="shared" si="1"/>
        <v>PEPE1991_Marzo</v>
      </c>
      <c r="G83" s="20" t="s">
        <v>1415</v>
      </c>
      <c r="H83" s="21">
        <v>3.963888888888889</v>
      </c>
      <c r="I83" s="21">
        <v>-77.75</v>
      </c>
      <c r="J83" s="22">
        <v>30.81</v>
      </c>
      <c r="K83" s="22">
        <v>28.23</v>
      </c>
      <c r="L83" s="23">
        <v>1658.03</v>
      </c>
      <c r="M83" s="24">
        <v>0</v>
      </c>
      <c r="N83" s="24">
        <v>243</v>
      </c>
      <c r="O83" s="19">
        <v>0</v>
      </c>
      <c r="P83" s="19">
        <v>0</v>
      </c>
    </row>
    <row r="84" spans="1:16" s="19" customFormat="1">
      <c r="A84" s="19" t="s">
        <v>92</v>
      </c>
      <c r="B84" s="19" t="s">
        <v>45</v>
      </c>
      <c r="C84" s="19">
        <v>1991</v>
      </c>
      <c r="D84" s="19" t="s">
        <v>1709</v>
      </c>
      <c r="E84" s="18">
        <v>33311</v>
      </c>
      <c r="F84" s="18" t="str">
        <f t="shared" si="1"/>
        <v>PEPE1991_Marzo</v>
      </c>
      <c r="G84" s="20" t="s">
        <v>1416</v>
      </c>
      <c r="H84" s="21">
        <v>4.0055555555555555</v>
      </c>
      <c r="I84" s="21">
        <v>-78.088888888888889</v>
      </c>
      <c r="J84" s="22">
        <v>32.07</v>
      </c>
      <c r="K84" s="22">
        <v>27.45</v>
      </c>
      <c r="L84" s="23">
        <v>1129.98</v>
      </c>
      <c r="M84" s="24">
        <v>0</v>
      </c>
      <c r="N84" s="24">
        <v>264</v>
      </c>
      <c r="O84" s="19">
        <v>0</v>
      </c>
      <c r="P84" s="19">
        <v>0</v>
      </c>
    </row>
    <row r="85" spans="1:16" s="19" customFormat="1">
      <c r="A85" s="19" t="s">
        <v>93</v>
      </c>
      <c r="B85" s="19" t="s">
        <v>45</v>
      </c>
      <c r="C85" s="19">
        <v>1991</v>
      </c>
      <c r="D85" s="19" t="s">
        <v>1709</v>
      </c>
      <c r="E85" s="18">
        <v>33311</v>
      </c>
      <c r="F85" s="18" t="str">
        <f t="shared" si="1"/>
        <v>PEPE1991_Marzo</v>
      </c>
      <c r="G85" s="20" t="s">
        <v>1417</v>
      </c>
      <c r="H85" s="21">
        <v>3.7833333333333332</v>
      </c>
      <c r="I85" s="21">
        <v>-77.233333333333334</v>
      </c>
      <c r="J85" s="22">
        <v>26.94</v>
      </c>
      <c r="K85" s="22">
        <v>28.88</v>
      </c>
      <c r="L85" s="23">
        <v>861.96</v>
      </c>
      <c r="M85" s="24">
        <v>0</v>
      </c>
      <c r="N85" s="24">
        <v>18</v>
      </c>
      <c r="O85" s="19">
        <v>0</v>
      </c>
      <c r="P85" s="19">
        <v>6</v>
      </c>
    </row>
    <row r="86" spans="1:16" s="19" customFormat="1">
      <c r="A86" s="19" t="s">
        <v>94</v>
      </c>
      <c r="B86" s="19" t="s">
        <v>45</v>
      </c>
      <c r="C86" s="19">
        <v>1991</v>
      </c>
      <c r="D86" s="19" t="s">
        <v>1709</v>
      </c>
      <c r="E86" s="18">
        <v>33311</v>
      </c>
      <c r="F86" s="18" t="str">
        <f t="shared" si="1"/>
        <v>PEPE1991_Marzo</v>
      </c>
      <c r="G86" s="20" t="s">
        <v>1418</v>
      </c>
      <c r="H86" s="21">
        <v>3.7777777777777777</v>
      </c>
      <c r="I86" s="21">
        <v>-77.286111111111111</v>
      </c>
      <c r="J86" s="22">
        <v>27.79</v>
      </c>
      <c r="K86" s="22">
        <v>28.46</v>
      </c>
      <c r="L86" s="23">
        <v>259.44</v>
      </c>
      <c r="M86" s="24">
        <v>11</v>
      </c>
      <c r="N86" s="24">
        <v>25</v>
      </c>
      <c r="O86" s="19">
        <v>0</v>
      </c>
      <c r="P86" s="19">
        <v>0</v>
      </c>
    </row>
    <row r="87" spans="1:16" s="19" customFormat="1">
      <c r="A87" s="19" t="s">
        <v>95</v>
      </c>
      <c r="B87" s="19" t="s">
        <v>45</v>
      </c>
      <c r="C87" s="19">
        <v>1991</v>
      </c>
      <c r="D87" s="19" t="s">
        <v>1709</v>
      </c>
      <c r="E87" s="18">
        <v>33311</v>
      </c>
      <c r="F87" s="18" t="str">
        <f t="shared" si="1"/>
        <v>PEPE1991_Marzo</v>
      </c>
      <c r="G87" s="20" t="s">
        <v>1419</v>
      </c>
      <c r="H87" s="21">
        <v>3.7888888888888888</v>
      </c>
      <c r="I87" s="21">
        <v>-77.37222222222222</v>
      </c>
      <c r="J87" s="22">
        <v>29.1</v>
      </c>
      <c r="K87" s="22">
        <v>28.38</v>
      </c>
      <c r="L87" s="23">
        <v>1248.21</v>
      </c>
      <c r="M87" s="24">
        <v>0</v>
      </c>
      <c r="N87" s="24">
        <v>190</v>
      </c>
      <c r="O87" s="19">
        <v>0</v>
      </c>
      <c r="P87" s="19">
        <v>0</v>
      </c>
    </row>
    <row r="88" spans="1:16" s="19" customFormat="1">
      <c r="A88" s="19" t="s">
        <v>96</v>
      </c>
      <c r="B88" s="19" t="s">
        <v>45</v>
      </c>
      <c r="C88" s="19">
        <v>1991</v>
      </c>
      <c r="D88" s="19" t="s">
        <v>1709</v>
      </c>
      <c r="E88" s="18">
        <v>33311</v>
      </c>
      <c r="F88" s="18" t="str">
        <f t="shared" si="1"/>
        <v>PEPE1991_Marzo</v>
      </c>
      <c r="G88" s="20" t="s">
        <v>1420</v>
      </c>
      <c r="H88" s="21">
        <v>3.8138888888888887</v>
      </c>
      <c r="I88" s="21">
        <v>-77.599999999999994</v>
      </c>
      <c r="J88" s="22">
        <v>31.47</v>
      </c>
      <c r="K88" s="22">
        <v>27.7</v>
      </c>
      <c r="L88" s="23">
        <v>2546.0700000000002</v>
      </c>
      <c r="M88" s="24">
        <v>0</v>
      </c>
      <c r="N88" s="24">
        <v>151</v>
      </c>
      <c r="O88" s="19">
        <v>0</v>
      </c>
      <c r="P88" s="19">
        <v>11</v>
      </c>
    </row>
    <row r="89" spans="1:16" s="19" customFormat="1">
      <c r="A89" s="19" t="s">
        <v>97</v>
      </c>
      <c r="B89" s="19" t="s">
        <v>45</v>
      </c>
      <c r="C89" s="19">
        <v>1991</v>
      </c>
      <c r="D89" s="19" t="s">
        <v>1709</v>
      </c>
      <c r="E89" s="18">
        <v>33311</v>
      </c>
      <c r="F89" s="18" t="str">
        <f t="shared" si="1"/>
        <v>PEPE1991_Marzo</v>
      </c>
      <c r="G89" s="20" t="s">
        <v>1421</v>
      </c>
      <c r="H89" s="21">
        <v>3.8833333333333333</v>
      </c>
      <c r="I89" s="21">
        <v>-77.95</v>
      </c>
      <c r="J89" s="22">
        <v>32.43</v>
      </c>
      <c r="K89" s="22">
        <v>27.36</v>
      </c>
      <c r="L89" s="23">
        <v>2010.96</v>
      </c>
      <c r="M89" s="24">
        <v>390</v>
      </c>
      <c r="N89" s="24">
        <v>345</v>
      </c>
      <c r="O89" s="19">
        <v>0</v>
      </c>
      <c r="P89" s="19">
        <v>6</v>
      </c>
    </row>
    <row r="90" spans="1:16" s="19" customFormat="1">
      <c r="A90" s="19" t="s">
        <v>98</v>
      </c>
      <c r="B90" s="19" t="s">
        <v>45</v>
      </c>
      <c r="C90" s="19">
        <v>1991</v>
      </c>
      <c r="D90" s="19" t="s">
        <v>1709</v>
      </c>
      <c r="E90" s="18">
        <v>33311</v>
      </c>
      <c r="F90" s="18" t="str">
        <f t="shared" si="1"/>
        <v>PEPE1991_Marzo</v>
      </c>
      <c r="G90" s="20" t="s">
        <v>1422</v>
      </c>
      <c r="H90" s="21">
        <v>3.6</v>
      </c>
      <c r="I90" s="21">
        <v>-77.316666666666663</v>
      </c>
      <c r="J90" s="22">
        <v>31.59</v>
      </c>
      <c r="K90" s="22">
        <v>27.44</v>
      </c>
      <c r="L90" s="23">
        <v>1597.13</v>
      </c>
      <c r="M90" s="24">
        <v>2307</v>
      </c>
      <c r="N90" s="24">
        <v>125</v>
      </c>
      <c r="O90" s="19">
        <v>461</v>
      </c>
      <c r="P90" s="19">
        <v>26</v>
      </c>
    </row>
    <row r="91" spans="1:16" s="19" customFormat="1">
      <c r="A91" s="19" t="s">
        <v>99</v>
      </c>
      <c r="B91" s="19" t="s">
        <v>45</v>
      </c>
      <c r="C91" s="19">
        <v>1991</v>
      </c>
      <c r="D91" s="19" t="s">
        <v>1709</v>
      </c>
      <c r="E91" s="18">
        <v>33311</v>
      </c>
      <c r="F91" s="18" t="str">
        <f t="shared" si="1"/>
        <v>PEPE1991_Marzo</v>
      </c>
      <c r="G91" s="20" t="s">
        <v>1423</v>
      </c>
      <c r="H91" s="21">
        <v>3.6666666666666665</v>
      </c>
      <c r="I91" s="21">
        <v>-77.308333333333337</v>
      </c>
      <c r="J91" s="22">
        <v>28.52</v>
      </c>
      <c r="K91" s="22">
        <v>29.02</v>
      </c>
      <c r="L91" s="23">
        <v>2723.6</v>
      </c>
      <c r="M91" s="24">
        <v>69</v>
      </c>
      <c r="N91" s="24">
        <v>8</v>
      </c>
      <c r="O91" s="19">
        <v>52</v>
      </c>
      <c r="P91" s="19">
        <v>1</v>
      </c>
    </row>
    <row r="92" spans="1:16" s="19" customFormat="1">
      <c r="A92" s="19" t="s">
        <v>100</v>
      </c>
      <c r="B92" s="19" t="s">
        <v>45</v>
      </c>
      <c r="C92" s="19">
        <v>1991</v>
      </c>
      <c r="D92" s="19" t="s">
        <v>1709</v>
      </c>
      <c r="E92" s="18">
        <v>33311</v>
      </c>
      <c r="F92" s="18" t="str">
        <f t="shared" si="1"/>
        <v>PEPE1991_Marzo</v>
      </c>
      <c r="G92" s="20" t="s">
        <v>1424</v>
      </c>
      <c r="H92" s="21">
        <v>3.6416666666666666</v>
      </c>
      <c r="I92" s="21">
        <v>-77.397222222222226</v>
      </c>
      <c r="J92" s="22">
        <v>29.62</v>
      </c>
      <c r="K92" s="22">
        <v>28.33</v>
      </c>
      <c r="L92" s="23">
        <v>1453.3</v>
      </c>
      <c r="M92" s="24">
        <v>72</v>
      </c>
      <c r="N92" s="24">
        <v>185</v>
      </c>
      <c r="O92" s="19">
        <v>0</v>
      </c>
      <c r="P92" s="19">
        <v>5</v>
      </c>
    </row>
    <row r="93" spans="1:16" s="19" customFormat="1">
      <c r="A93" s="19" t="s">
        <v>101</v>
      </c>
      <c r="B93" s="19" t="s">
        <v>45</v>
      </c>
      <c r="C93" s="19">
        <v>1991</v>
      </c>
      <c r="D93" s="19" t="s">
        <v>1709</v>
      </c>
      <c r="E93" s="18">
        <v>33311</v>
      </c>
      <c r="F93" s="18" t="str">
        <f t="shared" si="1"/>
        <v>PEPE1991_Marzo</v>
      </c>
      <c r="G93" s="20" t="s">
        <v>1425</v>
      </c>
      <c r="H93" s="21">
        <v>3.6194444444444445</v>
      </c>
      <c r="I93" s="21">
        <v>-77.547222222222217</v>
      </c>
      <c r="J93" s="22">
        <v>30.37</v>
      </c>
      <c r="K93" s="22">
        <v>28.38</v>
      </c>
      <c r="L93" s="23">
        <v>2442.15</v>
      </c>
      <c r="M93" s="24">
        <v>565</v>
      </c>
      <c r="N93" s="24">
        <v>1195</v>
      </c>
      <c r="O93" s="19">
        <v>0</v>
      </c>
      <c r="P93" s="19">
        <v>43</v>
      </c>
    </row>
    <row r="94" spans="1:16" s="19" customFormat="1">
      <c r="A94" s="19" t="s">
        <v>102</v>
      </c>
      <c r="B94" s="19" t="s">
        <v>45</v>
      </c>
      <c r="C94" s="19">
        <v>1991</v>
      </c>
      <c r="D94" s="19" t="s">
        <v>1709</v>
      </c>
      <c r="E94" s="18">
        <v>33311</v>
      </c>
      <c r="F94" s="18" t="str">
        <f t="shared" si="1"/>
        <v>PEPE1991_Marzo</v>
      </c>
      <c r="G94" s="20" t="s">
        <v>1426</v>
      </c>
      <c r="H94" s="21">
        <v>3.6388888888888888</v>
      </c>
      <c r="I94" s="21">
        <v>-77.891666666666666</v>
      </c>
      <c r="J94" s="22">
        <v>32.14</v>
      </c>
      <c r="K94" s="22">
        <v>27.24</v>
      </c>
      <c r="L94" s="23">
        <v>1018.96</v>
      </c>
      <c r="M94" s="24">
        <v>96</v>
      </c>
      <c r="N94" s="24">
        <v>517</v>
      </c>
      <c r="O94" s="19">
        <v>0</v>
      </c>
      <c r="P94" s="19">
        <v>0</v>
      </c>
    </row>
    <row r="95" spans="1:16" s="19" customFormat="1">
      <c r="A95" s="19" t="s">
        <v>103</v>
      </c>
      <c r="B95" s="19" t="s">
        <v>45</v>
      </c>
      <c r="C95" s="19">
        <v>1991</v>
      </c>
      <c r="D95" s="19" t="s">
        <v>1709</v>
      </c>
      <c r="E95" s="18">
        <v>33312</v>
      </c>
      <c r="F95" s="18" t="str">
        <f t="shared" si="1"/>
        <v>PEPE1991_Marzo</v>
      </c>
      <c r="G95" s="20" t="s">
        <v>1427</v>
      </c>
      <c r="H95" s="21">
        <v>3.5138888888888888</v>
      </c>
      <c r="I95" s="21">
        <v>-77.411111111111111</v>
      </c>
      <c r="J95" s="22">
        <v>27.1</v>
      </c>
      <c r="K95" s="22">
        <v>28.51</v>
      </c>
      <c r="L95" s="23">
        <v>459.48</v>
      </c>
      <c r="M95" s="24">
        <v>478</v>
      </c>
      <c r="N95" s="24">
        <v>197</v>
      </c>
      <c r="O95" s="19">
        <v>33</v>
      </c>
      <c r="P95" s="19">
        <v>113</v>
      </c>
    </row>
    <row r="96" spans="1:16" s="19" customFormat="1">
      <c r="A96" s="19" t="s">
        <v>104</v>
      </c>
      <c r="B96" s="19" t="s">
        <v>45</v>
      </c>
      <c r="C96" s="19">
        <v>1991</v>
      </c>
      <c r="D96" s="19" t="s">
        <v>1709</v>
      </c>
      <c r="E96" s="18">
        <v>33312</v>
      </c>
      <c r="F96" s="18" t="str">
        <f t="shared" si="1"/>
        <v>PEPE1991_Marzo</v>
      </c>
      <c r="G96" s="20" t="s">
        <v>1428</v>
      </c>
      <c r="H96" s="21">
        <v>3.5083333333333333</v>
      </c>
      <c r="I96" s="21">
        <v>-77.455555555555563</v>
      </c>
      <c r="J96" s="22">
        <v>27.81</v>
      </c>
      <c r="K96" s="22">
        <v>28.68</v>
      </c>
      <c r="L96" s="23">
        <v>730.56</v>
      </c>
      <c r="M96" s="24">
        <v>31</v>
      </c>
      <c r="N96" s="24">
        <v>94</v>
      </c>
      <c r="O96" s="19">
        <v>0</v>
      </c>
      <c r="P96" s="19">
        <v>19</v>
      </c>
    </row>
    <row r="97" spans="1:16" s="19" customFormat="1">
      <c r="A97" s="19" t="s">
        <v>105</v>
      </c>
      <c r="B97" s="19" t="s">
        <v>45</v>
      </c>
      <c r="C97" s="19">
        <v>1991</v>
      </c>
      <c r="D97" s="19" t="s">
        <v>1709</v>
      </c>
      <c r="E97" s="18">
        <v>33312</v>
      </c>
      <c r="F97" s="18" t="str">
        <f t="shared" si="1"/>
        <v>PEPE1991_Marzo</v>
      </c>
      <c r="G97" s="20" t="s">
        <v>1429</v>
      </c>
      <c r="H97" s="21">
        <v>3.5027777777777778</v>
      </c>
      <c r="I97" s="21">
        <v>-77.541666666666671</v>
      </c>
      <c r="J97" s="22">
        <v>30.82</v>
      </c>
      <c r="K97" s="22">
        <v>28.08</v>
      </c>
      <c r="L97" s="23">
        <v>1490</v>
      </c>
      <c r="M97" s="24">
        <v>110</v>
      </c>
      <c r="N97" s="24">
        <v>536</v>
      </c>
      <c r="O97" s="19">
        <v>0</v>
      </c>
      <c r="P97" s="19">
        <v>15</v>
      </c>
    </row>
    <row r="98" spans="1:16" s="19" customFormat="1">
      <c r="A98" s="19" t="s">
        <v>106</v>
      </c>
      <c r="B98" s="19" t="s">
        <v>45</v>
      </c>
      <c r="C98" s="19">
        <v>1991</v>
      </c>
      <c r="D98" s="19" t="s">
        <v>1709</v>
      </c>
      <c r="E98" s="18">
        <v>33312</v>
      </c>
      <c r="F98" s="18" t="str">
        <f t="shared" si="1"/>
        <v>PEPE1991_Marzo</v>
      </c>
      <c r="G98" s="20" t="s">
        <v>1430</v>
      </c>
      <c r="H98" s="21">
        <v>3.5305555555555554</v>
      </c>
      <c r="I98" s="21">
        <v>-77.650000000000006</v>
      </c>
      <c r="J98" s="22">
        <v>31.5</v>
      </c>
      <c r="K98" s="22">
        <v>27.6</v>
      </c>
      <c r="L98" s="23">
        <v>1617.54</v>
      </c>
      <c r="M98" s="24">
        <v>14</v>
      </c>
      <c r="N98" s="24">
        <v>585</v>
      </c>
      <c r="O98" s="19">
        <v>0</v>
      </c>
      <c r="P98" s="19">
        <v>7</v>
      </c>
    </row>
    <row r="99" spans="1:16" s="19" customFormat="1">
      <c r="A99" s="19" t="s">
        <v>107</v>
      </c>
      <c r="B99" s="19" t="s">
        <v>45</v>
      </c>
      <c r="C99" s="19">
        <v>1991</v>
      </c>
      <c r="D99" s="19" t="s">
        <v>1709</v>
      </c>
      <c r="E99" s="18">
        <v>33312</v>
      </c>
      <c r="F99" s="18" t="str">
        <f t="shared" si="1"/>
        <v>PEPE1991_Marzo</v>
      </c>
      <c r="G99" s="20" t="s">
        <v>1431</v>
      </c>
      <c r="H99" s="21">
        <v>3.5027777777777778</v>
      </c>
      <c r="I99" s="21">
        <v>-77.99722222222222</v>
      </c>
      <c r="J99" s="22">
        <v>32.119999999999997</v>
      </c>
      <c r="K99" s="22">
        <v>26.44</v>
      </c>
      <c r="L99" s="23">
        <v>435.15</v>
      </c>
      <c r="M99" s="24">
        <v>721</v>
      </c>
      <c r="N99" s="24">
        <v>268</v>
      </c>
      <c r="O99" s="19">
        <v>0</v>
      </c>
      <c r="P99" s="19">
        <v>0</v>
      </c>
    </row>
    <row r="100" spans="1:16" s="19" customFormat="1">
      <c r="A100" s="19" t="s">
        <v>108</v>
      </c>
      <c r="B100" s="19" t="s">
        <v>45</v>
      </c>
      <c r="C100" s="19">
        <v>1991</v>
      </c>
      <c r="D100" s="19" t="s">
        <v>1709</v>
      </c>
      <c r="E100" s="18">
        <v>33312</v>
      </c>
      <c r="F100" s="18" t="str">
        <f t="shared" si="1"/>
        <v>PEPE1991_Marzo</v>
      </c>
      <c r="G100" s="20" t="s">
        <v>1432</v>
      </c>
      <c r="H100" s="21">
        <v>3.3722222222222222</v>
      </c>
      <c r="I100" s="21">
        <v>-77.469444444444449</v>
      </c>
      <c r="J100" s="22">
        <v>32.35</v>
      </c>
      <c r="K100" s="22">
        <v>29.15</v>
      </c>
      <c r="L100" s="23">
        <v>4365.8999999999996</v>
      </c>
      <c r="M100" s="24">
        <v>12570</v>
      </c>
      <c r="N100" s="24">
        <v>223</v>
      </c>
      <c r="O100" s="19">
        <v>5378</v>
      </c>
      <c r="P100" s="19">
        <v>101</v>
      </c>
    </row>
    <row r="101" spans="1:16" s="19" customFormat="1">
      <c r="A101" s="19" t="s">
        <v>109</v>
      </c>
      <c r="B101" s="19" t="s">
        <v>45</v>
      </c>
      <c r="C101" s="19">
        <v>1991</v>
      </c>
      <c r="D101" s="19" t="s">
        <v>1709</v>
      </c>
      <c r="E101" s="18">
        <v>33312</v>
      </c>
      <c r="F101" s="18" t="str">
        <f t="shared" si="1"/>
        <v>PEPE1991_Marzo</v>
      </c>
      <c r="G101" s="20" t="s">
        <v>1433</v>
      </c>
      <c r="H101" s="21">
        <v>3.3722222222222222</v>
      </c>
      <c r="I101" s="21">
        <v>-77.538888888888891</v>
      </c>
      <c r="J101" s="22">
        <v>27.24</v>
      </c>
      <c r="K101" s="22">
        <v>28.48</v>
      </c>
      <c r="L101" s="23">
        <v>3343.03</v>
      </c>
      <c r="M101" s="24">
        <v>128</v>
      </c>
      <c r="N101" s="24">
        <v>83</v>
      </c>
      <c r="O101" s="19">
        <v>9</v>
      </c>
      <c r="P101" s="19">
        <v>9</v>
      </c>
    </row>
    <row r="102" spans="1:16" s="19" customFormat="1">
      <c r="A102" s="19" t="s">
        <v>110</v>
      </c>
      <c r="B102" s="19" t="s">
        <v>45</v>
      </c>
      <c r="C102" s="19">
        <v>1991</v>
      </c>
      <c r="D102" s="19" t="s">
        <v>1709</v>
      </c>
      <c r="E102" s="18">
        <v>33312</v>
      </c>
      <c r="F102" s="18" t="str">
        <f t="shared" si="1"/>
        <v>PEPE1991_Marzo</v>
      </c>
      <c r="G102" s="20" t="s">
        <v>1434</v>
      </c>
      <c r="H102" s="21">
        <v>3.3361111111111108</v>
      </c>
      <c r="I102" s="21">
        <v>-77.655555555555566</v>
      </c>
      <c r="J102" s="22">
        <v>29.58</v>
      </c>
      <c r="K102" s="22">
        <v>26.7</v>
      </c>
      <c r="L102" s="23">
        <v>471.98</v>
      </c>
      <c r="M102" s="24">
        <v>8</v>
      </c>
      <c r="N102" s="24">
        <v>114</v>
      </c>
      <c r="O102" s="19">
        <v>0</v>
      </c>
      <c r="P102" s="19">
        <v>0</v>
      </c>
    </row>
    <row r="103" spans="1:16" s="19" customFormat="1">
      <c r="A103" s="19" t="s">
        <v>111</v>
      </c>
      <c r="B103" s="19" t="s">
        <v>45</v>
      </c>
      <c r="C103" s="19">
        <v>1991</v>
      </c>
      <c r="D103" s="19" t="s">
        <v>1709</v>
      </c>
      <c r="E103" s="18">
        <v>33312</v>
      </c>
      <c r="F103" s="18" t="str">
        <f t="shared" si="1"/>
        <v>PEPE1991_Marzo</v>
      </c>
      <c r="G103" s="20" t="s">
        <v>1435</v>
      </c>
      <c r="H103" s="21">
        <v>3.338888888888889</v>
      </c>
      <c r="I103" s="21">
        <v>-77.794444444444437</v>
      </c>
      <c r="J103" s="22">
        <v>31.21</v>
      </c>
      <c r="K103" s="22">
        <v>25.42</v>
      </c>
      <c r="L103" s="23">
        <v>1032.71</v>
      </c>
      <c r="M103" s="24">
        <v>100</v>
      </c>
      <c r="N103" s="24">
        <v>225</v>
      </c>
      <c r="O103" s="19">
        <v>0</v>
      </c>
      <c r="P103" s="19">
        <v>0</v>
      </c>
    </row>
    <row r="104" spans="1:16" s="19" customFormat="1">
      <c r="A104" s="19" t="s">
        <v>112</v>
      </c>
      <c r="B104" s="19" t="s">
        <v>45</v>
      </c>
      <c r="C104" s="19">
        <v>1991</v>
      </c>
      <c r="D104" s="19" t="s">
        <v>1709</v>
      </c>
      <c r="E104" s="18">
        <v>33312</v>
      </c>
      <c r="F104" s="18" t="str">
        <f t="shared" si="1"/>
        <v>PEPE1991_Marzo</v>
      </c>
      <c r="G104" s="20" t="s">
        <v>1436</v>
      </c>
      <c r="H104" s="21">
        <v>3.35</v>
      </c>
      <c r="I104" s="21">
        <v>-78.13333333333334</v>
      </c>
      <c r="J104" s="22">
        <v>32.42</v>
      </c>
      <c r="K104" s="22">
        <v>27.15</v>
      </c>
      <c r="L104" s="23">
        <v>352.43</v>
      </c>
      <c r="M104" s="24">
        <v>142</v>
      </c>
      <c r="N104" s="24">
        <v>443</v>
      </c>
      <c r="O104" s="19">
        <v>0</v>
      </c>
      <c r="P104" s="19">
        <v>18</v>
      </c>
    </row>
    <row r="105" spans="1:16" s="19" customFormat="1">
      <c r="A105" s="19" t="s">
        <v>113</v>
      </c>
      <c r="B105" s="19" t="s">
        <v>45</v>
      </c>
      <c r="C105" s="19">
        <v>1991</v>
      </c>
      <c r="D105" s="19" t="s">
        <v>1709</v>
      </c>
      <c r="E105" s="18">
        <v>33313</v>
      </c>
      <c r="F105" s="18" t="str">
        <f t="shared" si="1"/>
        <v>PEPE1991_Marzo</v>
      </c>
      <c r="G105" s="20" t="s">
        <v>1437</v>
      </c>
      <c r="H105" s="21">
        <v>3.2111111111111112</v>
      </c>
      <c r="I105" s="21">
        <v>-77.599999999999994</v>
      </c>
      <c r="J105" s="22">
        <v>26.14</v>
      </c>
      <c r="K105" s="22">
        <v>27.99</v>
      </c>
      <c r="L105" s="23">
        <v>1401.48</v>
      </c>
      <c r="M105" s="24">
        <v>2101</v>
      </c>
      <c r="N105" s="24">
        <v>362</v>
      </c>
      <c r="O105" s="19">
        <v>0</v>
      </c>
      <c r="P105" s="19">
        <v>293</v>
      </c>
    </row>
    <row r="106" spans="1:16" s="19" customFormat="1">
      <c r="A106" s="19" t="s">
        <v>114</v>
      </c>
      <c r="B106" s="19" t="s">
        <v>45</v>
      </c>
      <c r="C106" s="19">
        <v>1991</v>
      </c>
      <c r="D106" s="19" t="s">
        <v>1709</v>
      </c>
      <c r="E106" s="18">
        <v>33313</v>
      </c>
      <c r="F106" s="18" t="str">
        <f t="shared" si="1"/>
        <v>PEPE1991_Marzo</v>
      </c>
      <c r="G106" s="20" t="s">
        <v>1438</v>
      </c>
      <c r="H106" s="21">
        <v>3.2111111111111112</v>
      </c>
      <c r="I106" s="21">
        <v>-77.652777777777786</v>
      </c>
      <c r="J106" s="22">
        <v>27.61</v>
      </c>
      <c r="K106" s="22">
        <v>27.74</v>
      </c>
      <c r="L106" s="23">
        <v>504.12</v>
      </c>
      <c r="M106" s="24">
        <v>6172</v>
      </c>
      <c r="N106" s="24">
        <v>289</v>
      </c>
      <c r="O106" s="19">
        <v>16</v>
      </c>
      <c r="P106" s="19">
        <v>124</v>
      </c>
    </row>
    <row r="107" spans="1:16" s="19" customFormat="1">
      <c r="A107" s="19" t="s">
        <v>115</v>
      </c>
      <c r="B107" s="19" t="s">
        <v>45</v>
      </c>
      <c r="C107" s="19">
        <v>1991</v>
      </c>
      <c r="D107" s="19" t="s">
        <v>1709</v>
      </c>
      <c r="E107" s="18">
        <v>33312</v>
      </c>
      <c r="F107" s="18" t="str">
        <f t="shared" si="1"/>
        <v>PEPE1991_Marzo</v>
      </c>
      <c r="G107" s="20" t="s">
        <v>1439</v>
      </c>
      <c r="H107" s="21">
        <v>3.2166666666666668</v>
      </c>
      <c r="I107" s="21">
        <v>-77.727777777777774</v>
      </c>
      <c r="J107" s="22">
        <v>31.29</v>
      </c>
      <c r="K107" s="22">
        <v>24.03</v>
      </c>
      <c r="L107" s="23">
        <v>467.15</v>
      </c>
      <c r="M107" s="24">
        <v>33</v>
      </c>
      <c r="N107" s="24">
        <v>602</v>
      </c>
      <c r="O107" s="19">
        <v>0</v>
      </c>
      <c r="P107" s="19">
        <v>17</v>
      </c>
    </row>
    <row r="108" spans="1:16" s="19" customFormat="1">
      <c r="A108" s="19" t="s">
        <v>116</v>
      </c>
      <c r="B108" s="19" t="s">
        <v>45</v>
      </c>
      <c r="C108" s="19">
        <v>1991</v>
      </c>
      <c r="D108" s="19" t="s">
        <v>1709</v>
      </c>
      <c r="E108" s="18">
        <v>33312</v>
      </c>
      <c r="F108" s="18" t="str">
        <f t="shared" si="1"/>
        <v>PEPE1991_Marzo</v>
      </c>
      <c r="G108" s="20" t="s">
        <v>1440</v>
      </c>
      <c r="H108" s="21">
        <v>3.2277777777777779</v>
      </c>
      <c r="I108" s="21">
        <v>-77.87222222222222</v>
      </c>
      <c r="J108" s="22">
        <v>31.5</v>
      </c>
      <c r="K108" s="22">
        <v>27.04</v>
      </c>
      <c r="L108" s="23">
        <v>119.41</v>
      </c>
      <c r="M108" s="24">
        <v>35</v>
      </c>
      <c r="N108" s="24">
        <v>444</v>
      </c>
      <c r="O108" s="19">
        <v>0</v>
      </c>
      <c r="P108" s="19">
        <v>0</v>
      </c>
    </row>
    <row r="109" spans="1:16" s="19" customFormat="1">
      <c r="A109" s="19" t="s">
        <v>117</v>
      </c>
      <c r="B109" s="19" t="s">
        <v>45</v>
      </c>
      <c r="C109" s="19">
        <v>1991</v>
      </c>
      <c r="D109" s="19" t="s">
        <v>1709</v>
      </c>
      <c r="E109" s="18">
        <v>33312</v>
      </c>
      <c r="F109" s="18" t="str">
        <f t="shared" si="1"/>
        <v>PEPE1991_Marzo</v>
      </c>
      <c r="G109" s="20" t="s">
        <v>1441</v>
      </c>
      <c r="H109" s="21">
        <v>3.1749999999999998</v>
      </c>
      <c r="I109" s="21">
        <v>-78.222222222222229</v>
      </c>
      <c r="J109" s="22">
        <v>32.51</v>
      </c>
      <c r="K109" s="22">
        <v>26.96</v>
      </c>
      <c r="L109" s="23">
        <v>509.27</v>
      </c>
      <c r="M109" s="24">
        <v>114</v>
      </c>
      <c r="N109" s="24">
        <v>531</v>
      </c>
      <c r="O109" s="19">
        <v>0</v>
      </c>
      <c r="P109" s="19">
        <v>34</v>
      </c>
    </row>
    <row r="110" spans="1:16" s="19" customFormat="1">
      <c r="A110" s="19" t="s">
        <v>118</v>
      </c>
      <c r="B110" s="19" t="s">
        <v>45</v>
      </c>
      <c r="C110" s="19">
        <v>1991</v>
      </c>
      <c r="D110" s="19" t="s">
        <v>1709</v>
      </c>
      <c r="E110" s="18">
        <v>33313</v>
      </c>
      <c r="F110" s="18" t="str">
        <f t="shared" si="1"/>
        <v>PEPE1991_Marzo</v>
      </c>
      <c r="G110" s="20" t="s">
        <v>1442</v>
      </c>
      <c r="H110" s="21">
        <v>2.9861111111111112</v>
      </c>
      <c r="I110" s="21">
        <v>-77.75277777777778</v>
      </c>
      <c r="J110" s="22">
        <v>28.97</v>
      </c>
      <c r="K110" s="22">
        <v>28.18</v>
      </c>
      <c r="L110" s="23">
        <v>60.55</v>
      </c>
      <c r="M110" s="24">
        <v>96</v>
      </c>
      <c r="N110" s="24">
        <v>28</v>
      </c>
      <c r="O110" s="19">
        <v>0</v>
      </c>
      <c r="P110" s="19">
        <v>26</v>
      </c>
    </row>
    <row r="111" spans="1:16" s="19" customFormat="1">
      <c r="A111" s="19" t="s">
        <v>119</v>
      </c>
      <c r="B111" s="19" t="s">
        <v>45</v>
      </c>
      <c r="C111" s="19">
        <v>1991</v>
      </c>
      <c r="D111" s="19" t="s">
        <v>1709</v>
      </c>
      <c r="E111" s="18">
        <v>33313</v>
      </c>
      <c r="F111" s="18" t="str">
        <f t="shared" si="1"/>
        <v>PEPE1991_Marzo</v>
      </c>
      <c r="G111" s="20" t="s">
        <v>1443</v>
      </c>
      <c r="H111" s="21">
        <v>3.0027777777777778</v>
      </c>
      <c r="I111" s="21">
        <v>-77.822222222222223</v>
      </c>
      <c r="J111" s="22">
        <v>30.08</v>
      </c>
      <c r="K111" s="22">
        <v>27.76</v>
      </c>
      <c r="L111" s="23">
        <v>504.12</v>
      </c>
      <c r="M111" s="24">
        <v>1219</v>
      </c>
      <c r="N111" s="24">
        <v>297</v>
      </c>
      <c r="O111" s="19">
        <v>41</v>
      </c>
      <c r="P111" s="19">
        <v>73</v>
      </c>
    </row>
    <row r="112" spans="1:16" s="19" customFormat="1">
      <c r="A112" s="19" t="s">
        <v>120</v>
      </c>
      <c r="B112" s="19" t="s">
        <v>45</v>
      </c>
      <c r="C112" s="19">
        <v>1991</v>
      </c>
      <c r="D112" s="19" t="s">
        <v>1709</v>
      </c>
      <c r="E112" s="18">
        <v>33313</v>
      </c>
      <c r="F112" s="18" t="str">
        <f t="shared" si="1"/>
        <v>PEPE1991_Marzo</v>
      </c>
      <c r="G112" s="20" t="s">
        <v>1444</v>
      </c>
      <c r="H112" s="21">
        <v>3.0027777777777778</v>
      </c>
      <c r="I112" s="21">
        <v>-77.858333333333334</v>
      </c>
      <c r="J112" s="22">
        <v>30.07</v>
      </c>
      <c r="K112" s="22">
        <v>24.89</v>
      </c>
      <c r="L112" s="23">
        <v>533.69000000000005</v>
      </c>
      <c r="M112" s="24">
        <v>315</v>
      </c>
      <c r="N112" s="24">
        <v>269</v>
      </c>
      <c r="O112" s="19">
        <v>38</v>
      </c>
      <c r="P112" s="19">
        <v>4</v>
      </c>
    </row>
    <row r="113" spans="1:16" s="19" customFormat="1">
      <c r="A113" s="19" t="s">
        <v>121</v>
      </c>
      <c r="B113" s="19" t="s">
        <v>45</v>
      </c>
      <c r="C113" s="19">
        <v>1991</v>
      </c>
      <c r="D113" s="19" t="s">
        <v>1709</v>
      </c>
      <c r="E113" s="18">
        <v>33313</v>
      </c>
      <c r="F113" s="18" t="str">
        <f t="shared" si="1"/>
        <v>PEPE1991_Marzo</v>
      </c>
      <c r="G113" s="20" t="s">
        <v>1445</v>
      </c>
      <c r="H113" s="21">
        <v>3</v>
      </c>
      <c r="I113" s="21">
        <v>-78.00833333333334</v>
      </c>
      <c r="J113" s="22">
        <v>29.67</v>
      </c>
      <c r="K113" s="22">
        <v>25.95</v>
      </c>
      <c r="L113" s="23">
        <v>1211.3599999999999</v>
      </c>
      <c r="M113" s="24">
        <v>21</v>
      </c>
      <c r="N113" s="24">
        <v>82</v>
      </c>
      <c r="O113" s="19">
        <v>0</v>
      </c>
      <c r="P113" s="19">
        <v>0</v>
      </c>
    </row>
    <row r="114" spans="1:16" s="19" customFormat="1">
      <c r="A114" s="19" t="s">
        <v>122</v>
      </c>
      <c r="B114" s="19" t="s">
        <v>45</v>
      </c>
      <c r="C114" s="19">
        <v>1991</v>
      </c>
      <c r="D114" s="19" t="s">
        <v>1709</v>
      </c>
      <c r="E114" s="18">
        <v>33313</v>
      </c>
      <c r="F114" s="18" t="str">
        <f t="shared" si="1"/>
        <v>PEPE1991_Marzo</v>
      </c>
      <c r="G114" s="20" t="s">
        <v>1446</v>
      </c>
      <c r="H114" s="21">
        <v>3.0166666666666666</v>
      </c>
      <c r="I114" s="21">
        <v>-78.349999999999994</v>
      </c>
      <c r="J114" s="22">
        <v>32.130000000000003</v>
      </c>
      <c r="K114" s="22">
        <v>26.79</v>
      </c>
      <c r="L114" s="23">
        <v>482.4</v>
      </c>
      <c r="M114" s="24">
        <v>70</v>
      </c>
      <c r="N114" s="24">
        <v>358</v>
      </c>
      <c r="O114" s="19">
        <v>0</v>
      </c>
      <c r="P114" s="19">
        <v>0</v>
      </c>
    </row>
    <row r="115" spans="1:16" s="19" customFormat="1" ht="15.65" customHeight="1">
      <c r="A115" s="19" t="s">
        <v>123</v>
      </c>
      <c r="B115" s="19" t="s">
        <v>45</v>
      </c>
      <c r="C115" s="19">
        <v>1991</v>
      </c>
      <c r="D115" s="19" t="s">
        <v>1709</v>
      </c>
      <c r="E115" s="18">
        <v>33313</v>
      </c>
      <c r="F115" s="18" t="str">
        <f t="shared" si="1"/>
        <v>PEPE1991_Marzo</v>
      </c>
      <c r="G115" s="20" t="s">
        <v>1447</v>
      </c>
      <c r="H115" s="21">
        <v>2.8722222222222222</v>
      </c>
      <c r="I115" s="21">
        <v>-77.794444444444437</v>
      </c>
      <c r="J115" s="22">
        <v>29.7</v>
      </c>
      <c r="K115" s="22">
        <v>27</v>
      </c>
      <c r="L115" s="23">
        <v>686.89</v>
      </c>
      <c r="M115" s="24">
        <v>2</v>
      </c>
      <c r="N115" s="24">
        <v>179</v>
      </c>
      <c r="O115" s="19">
        <v>0</v>
      </c>
      <c r="P115" s="19">
        <v>159</v>
      </c>
    </row>
    <row r="116" spans="1:16" s="19" customFormat="1">
      <c r="A116" s="19" t="s">
        <v>124</v>
      </c>
      <c r="B116" s="19" t="s">
        <v>45</v>
      </c>
      <c r="C116" s="19">
        <v>1991</v>
      </c>
      <c r="D116" s="19" t="s">
        <v>1709</v>
      </c>
      <c r="E116" s="18">
        <v>33313</v>
      </c>
      <c r="F116" s="18" t="str">
        <f t="shared" si="1"/>
        <v>PEPE1991_Marzo</v>
      </c>
      <c r="G116" s="20" t="s">
        <v>1448</v>
      </c>
      <c r="H116" s="21">
        <v>2.8944444444444444</v>
      </c>
      <c r="I116" s="21">
        <v>-77.836111111111109</v>
      </c>
      <c r="J116" s="22">
        <v>30.6</v>
      </c>
      <c r="K116" s="22">
        <v>25.9</v>
      </c>
      <c r="L116" s="23">
        <v>160.19</v>
      </c>
      <c r="M116" s="24">
        <v>1043</v>
      </c>
      <c r="N116" s="24">
        <v>23</v>
      </c>
      <c r="O116" s="19">
        <v>19</v>
      </c>
      <c r="P116" s="19">
        <v>17</v>
      </c>
    </row>
    <row r="117" spans="1:16" s="19" customFormat="1">
      <c r="A117" s="19" t="s">
        <v>125</v>
      </c>
      <c r="B117" s="19" t="s">
        <v>45</v>
      </c>
      <c r="C117" s="19">
        <v>1991</v>
      </c>
      <c r="D117" s="19" t="s">
        <v>1709</v>
      </c>
      <c r="E117" s="18">
        <v>33313</v>
      </c>
      <c r="F117" s="18" t="str">
        <f t="shared" si="1"/>
        <v>PEPE1991_Marzo</v>
      </c>
      <c r="G117" s="20" t="s">
        <v>1449</v>
      </c>
      <c r="H117" s="21">
        <v>2.8333333333333335</v>
      </c>
      <c r="I117" s="21">
        <v>-77.00555555555556</v>
      </c>
      <c r="J117" s="22">
        <v>31.4</v>
      </c>
      <c r="K117" s="22">
        <v>26.24</v>
      </c>
      <c r="L117" s="23">
        <v>1259.06</v>
      </c>
      <c r="M117" s="24">
        <v>0</v>
      </c>
      <c r="N117" s="24">
        <v>265</v>
      </c>
      <c r="O117" s="19">
        <v>0</v>
      </c>
      <c r="P117" s="19">
        <v>60</v>
      </c>
    </row>
    <row r="118" spans="1:16" s="19" customFormat="1">
      <c r="A118" s="19" t="s">
        <v>126</v>
      </c>
      <c r="B118" s="19" t="s">
        <v>45</v>
      </c>
      <c r="C118" s="19">
        <v>1991</v>
      </c>
      <c r="D118" s="19" t="s">
        <v>1709</v>
      </c>
      <c r="E118" s="18">
        <v>33313</v>
      </c>
      <c r="F118" s="18" t="str">
        <f t="shared" si="1"/>
        <v>PEPE1991_Marzo</v>
      </c>
      <c r="G118" s="20" t="s">
        <v>1450</v>
      </c>
      <c r="H118" s="21">
        <v>2.9166666666666665</v>
      </c>
      <c r="I118" s="21">
        <v>-78.325000000000003</v>
      </c>
      <c r="J118" s="22">
        <v>31.27</v>
      </c>
      <c r="K118" s="22">
        <v>27.76</v>
      </c>
      <c r="L118" s="23">
        <v>876.39</v>
      </c>
      <c r="M118" s="24">
        <v>55</v>
      </c>
      <c r="N118" s="24">
        <v>429</v>
      </c>
      <c r="O118" s="19">
        <v>0</v>
      </c>
      <c r="P118" s="19">
        <v>7</v>
      </c>
    </row>
    <row r="119" spans="1:16" s="19" customFormat="1">
      <c r="A119" s="19" t="s">
        <v>127</v>
      </c>
      <c r="B119" s="19" t="s">
        <v>45</v>
      </c>
      <c r="C119" s="19">
        <v>1991</v>
      </c>
      <c r="D119" s="19" t="s">
        <v>1709</v>
      </c>
      <c r="E119" s="18">
        <v>33313</v>
      </c>
      <c r="F119" s="18" t="str">
        <f t="shared" si="1"/>
        <v>PEPE1991_Marzo</v>
      </c>
      <c r="G119" s="20" t="s">
        <v>1451</v>
      </c>
      <c r="H119" s="21">
        <v>2.8472222222222223</v>
      </c>
      <c r="I119" s="21">
        <v>-78.808333333333337</v>
      </c>
      <c r="J119" s="22">
        <v>33.32</v>
      </c>
      <c r="K119" s="22">
        <v>26.64</v>
      </c>
      <c r="L119" s="23">
        <v>234.76</v>
      </c>
      <c r="M119" s="24">
        <v>211</v>
      </c>
      <c r="N119" s="24">
        <v>409</v>
      </c>
      <c r="O119" s="19">
        <v>0</v>
      </c>
      <c r="P119" s="19">
        <v>0</v>
      </c>
    </row>
    <row r="120" spans="1:16" s="19" customFormat="1">
      <c r="A120" s="19" t="s">
        <v>128</v>
      </c>
      <c r="B120" s="19" t="s">
        <v>45</v>
      </c>
      <c r="C120" s="19">
        <v>1991</v>
      </c>
      <c r="D120" s="19" t="s">
        <v>1709</v>
      </c>
      <c r="E120" s="18">
        <v>33314</v>
      </c>
      <c r="F120" s="18" t="str">
        <f t="shared" si="1"/>
        <v>PEPE1991_Marzo</v>
      </c>
      <c r="G120" s="20" t="s">
        <v>1452</v>
      </c>
      <c r="H120" s="21">
        <v>2.6805555555555554</v>
      </c>
      <c r="I120" s="21">
        <v>-78.425000000000011</v>
      </c>
      <c r="J120" s="22">
        <v>29.7</v>
      </c>
      <c r="K120" s="22">
        <v>27</v>
      </c>
      <c r="L120" s="23">
        <v>410.16</v>
      </c>
      <c r="M120" s="24">
        <v>45</v>
      </c>
      <c r="N120" s="24">
        <v>130</v>
      </c>
      <c r="O120" s="19">
        <v>0</v>
      </c>
      <c r="P120" s="19">
        <v>6</v>
      </c>
    </row>
    <row r="121" spans="1:16" s="19" customFormat="1">
      <c r="A121" s="19" t="s">
        <v>129</v>
      </c>
      <c r="B121" s="19" t="s">
        <v>45</v>
      </c>
      <c r="C121" s="19">
        <v>1991</v>
      </c>
      <c r="D121" s="19" t="s">
        <v>1709</v>
      </c>
      <c r="E121" s="18">
        <v>33314</v>
      </c>
      <c r="F121" s="18" t="str">
        <f t="shared" si="1"/>
        <v>PEPE1991_Marzo</v>
      </c>
      <c r="G121" s="20" t="s">
        <v>1453</v>
      </c>
      <c r="H121" s="21">
        <v>2.6777777777777776</v>
      </c>
      <c r="I121" s="21">
        <v>-78.530555555555551</v>
      </c>
      <c r="J121" s="22">
        <v>30.6</v>
      </c>
      <c r="K121" s="22">
        <v>26.2</v>
      </c>
      <c r="L121" s="23">
        <v>1670.05</v>
      </c>
      <c r="M121" s="24">
        <v>0</v>
      </c>
      <c r="N121" s="24">
        <v>2306</v>
      </c>
      <c r="O121" s="19">
        <v>0</v>
      </c>
      <c r="P121" s="19">
        <v>148</v>
      </c>
    </row>
    <row r="122" spans="1:16" s="19" customFormat="1">
      <c r="A122" s="19" t="s">
        <v>130</v>
      </c>
      <c r="B122" s="19" t="s">
        <v>45</v>
      </c>
      <c r="C122" s="19">
        <v>1991</v>
      </c>
      <c r="D122" s="19" t="s">
        <v>1709</v>
      </c>
      <c r="E122" s="18">
        <v>33314</v>
      </c>
      <c r="F122" s="18" t="str">
        <f t="shared" si="1"/>
        <v>PEPE1991_Marzo</v>
      </c>
      <c r="G122" s="20" t="s">
        <v>1454</v>
      </c>
      <c r="H122" s="21">
        <v>2.7166666666666668</v>
      </c>
      <c r="I122" s="21">
        <v>-78.663888888888891</v>
      </c>
      <c r="J122" s="22">
        <v>30.97</v>
      </c>
      <c r="K122" s="22">
        <v>27.23</v>
      </c>
      <c r="L122" s="23">
        <v>1021.75</v>
      </c>
      <c r="M122" s="24">
        <v>277</v>
      </c>
      <c r="N122" s="24">
        <v>1334</v>
      </c>
      <c r="O122" s="19">
        <v>0</v>
      </c>
      <c r="P122" s="19">
        <v>0</v>
      </c>
    </row>
    <row r="123" spans="1:16" s="19" customFormat="1">
      <c r="A123" s="19" t="s">
        <v>131</v>
      </c>
      <c r="B123" s="19" t="s">
        <v>45</v>
      </c>
      <c r="C123" s="19">
        <v>1991</v>
      </c>
      <c r="D123" s="19" t="s">
        <v>1709</v>
      </c>
      <c r="E123" s="18">
        <v>33314</v>
      </c>
      <c r="F123" s="18" t="str">
        <f t="shared" si="1"/>
        <v>PEPE1991_Marzo</v>
      </c>
      <c r="G123" s="20" t="s">
        <v>1455</v>
      </c>
      <c r="H123" s="21">
        <v>2.6861111111111109</v>
      </c>
      <c r="I123" s="21">
        <v>-78.933333333333337</v>
      </c>
      <c r="J123" s="22">
        <v>33.58</v>
      </c>
      <c r="K123" s="22">
        <v>26.17</v>
      </c>
      <c r="L123" s="23">
        <v>356.73</v>
      </c>
      <c r="M123" s="24">
        <v>1122</v>
      </c>
      <c r="N123" s="24">
        <v>243</v>
      </c>
      <c r="O123" s="19">
        <v>0</v>
      </c>
      <c r="P123" s="19">
        <v>0</v>
      </c>
    </row>
    <row r="124" spans="1:16" s="19" customFormat="1">
      <c r="A124" s="19" t="s">
        <v>132</v>
      </c>
      <c r="B124" s="19" t="s">
        <v>45</v>
      </c>
      <c r="C124" s="19">
        <v>1991</v>
      </c>
      <c r="D124" s="19" t="s">
        <v>1709</v>
      </c>
      <c r="E124" s="18">
        <v>33314</v>
      </c>
      <c r="F124" s="18" t="str">
        <f t="shared" si="1"/>
        <v>PEPE1991_Marzo</v>
      </c>
      <c r="G124" s="20" t="s">
        <v>1456</v>
      </c>
      <c r="H124" s="21">
        <v>2.5138888888888888</v>
      </c>
      <c r="I124" s="21">
        <v>-78.569444444444443</v>
      </c>
      <c r="J124" s="22">
        <v>31.38</v>
      </c>
      <c r="K124" s="22">
        <v>27.9</v>
      </c>
      <c r="L124" s="23">
        <v>505.25</v>
      </c>
      <c r="M124" s="24">
        <v>1</v>
      </c>
      <c r="N124" s="24">
        <v>7</v>
      </c>
      <c r="O124" s="19">
        <v>0</v>
      </c>
      <c r="P124" s="19">
        <v>0</v>
      </c>
    </row>
    <row r="125" spans="1:16" s="19" customFormat="1">
      <c r="A125" s="19" t="s">
        <v>133</v>
      </c>
      <c r="B125" s="19" t="s">
        <v>45</v>
      </c>
      <c r="C125" s="19">
        <v>1991</v>
      </c>
      <c r="D125" s="19" t="s">
        <v>1709</v>
      </c>
      <c r="E125" s="18">
        <v>33314</v>
      </c>
      <c r="F125" s="18" t="str">
        <f t="shared" si="1"/>
        <v>PEPE1991_Marzo</v>
      </c>
      <c r="G125" s="20" t="s">
        <v>1457</v>
      </c>
      <c r="H125" s="21">
        <v>2.536111111111111</v>
      </c>
      <c r="I125" s="21">
        <v>-78.625</v>
      </c>
      <c r="J125" s="22">
        <v>31.5</v>
      </c>
      <c r="K125" s="22">
        <v>27.43</v>
      </c>
      <c r="L125" s="23">
        <v>864.94</v>
      </c>
      <c r="M125" s="24">
        <v>96</v>
      </c>
      <c r="N125" s="24">
        <v>508</v>
      </c>
      <c r="O125" s="19">
        <v>0</v>
      </c>
      <c r="P125" s="19">
        <v>44</v>
      </c>
    </row>
    <row r="126" spans="1:16" s="19" customFormat="1">
      <c r="A126" s="19" t="s">
        <v>134</v>
      </c>
      <c r="B126" s="19" t="s">
        <v>45</v>
      </c>
      <c r="C126" s="19">
        <v>1991</v>
      </c>
      <c r="D126" s="19" t="s">
        <v>1709</v>
      </c>
      <c r="E126" s="18">
        <v>33314</v>
      </c>
      <c r="F126" s="18" t="str">
        <f t="shared" si="1"/>
        <v>PEPE1991_Marzo</v>
      </c>
      <c r="G126" s="20" t="s">
        <v>1458</v>
      </c>
      <c r="H126" s="21">
        <v>2.5777777777777775</v>
      </c>
      <c r="I126" s="21">
        <v>-78.713888888888889</v>
      </c>
      <c r="J126" s="22">
        <v>31.09</v>
      </c>
      <c r="K126" s="22">
        <v>28.74</v>
      </c>
      <c r="L126" s="23">
        <v>763.63</v>
      </c>
      <c r="M126" s="24">
        <v>58</v>
      </c>
      <c r="N126" s="24">
        <v>642</v>
      </c>
      <c r="O126" s="19">
        <v>0</v>
      </c>
      <c r="P126" s="19">
        <v>58</v>
      </c>
    </row>
    <row r="127" spans="1:16" s="19" customFormat="1">
      <c r="A127" s="19" t="s">
        <v>135</v>
      </c>
      <c r="B127" s="19" t="s">
        <v>45</v>
      </c>
      <c r="C127" s="19">
        <v>1991</v>
      </c>
      <c r="D127" s="19" t="s">
        <v>1709</v>
      </c>
      <c r="E127" s="18">
        <v>33314</v>
      </c>
      <c r="F127" s="18" t="str">
        <f t="shared" si="1"/>
        <v>PEPE1991_Marzo</v>
      </c>
      <c r="G127" s="20" t="s">
        <v>1459</v>
      </c>
      <c r="H127" s="21">
        <v>2.5805555555555553</v>
      </c>
      <c r="I127" s="21">
        <v>-78.844444444444434</v>
      </c>
      <c r="J127" s="22">
        <v>33.58</v>
      </c>
      <c r="K127" s="22">
        <v>29.34</v>
      </c>
      <c r="L127" s="23">
        <v>440.86</v>
      </c>
      <c r="M127" s="24">
        <v>2644</v>
      </c>
      <c r="N127" s="24">
        <v>571</v>
      </c>
      <c r="O127" s="19">
        <v>0</v>
      </c>
      <c r="P127" s="19">
        <v>0</v>
      </c>
    </row>
    <row r="128" spans="1:16" s="19" customFormat="1">
      <c r="A128" s="19" t="s">
        <v>136</v>
      </c>
      <c r="B128" s="19" t="s">
        <v>45</v>
      </c>
      <c r="C128" s="19">
        <v>1991</v>
      </c>
      <c r="D128" s="19" t="s">
        <v>1709</v>
      </c>
      <c r="E128" s="18">
        <v>33314</v>
      </c>
      <c r="F128" s="18" t="str">
        <f t="shared" si="1"/>
        <v>PEPE1991_Marzo</v>
      </c>
      <c r="G128" s="20" t="s">
        <v>1460</v>
      </c>
      <c r="H128" s="21">
        <v>2.5333333333333332</v>
      </c>
      <c r="I128" s="21">
        <v>-79.00555555555556</v>
      </c>
      <c r="J128" s="22">
        <v>33.86</v>
      </c>
      <c r="K128" s="22">
        <v>27.53</v>
      </c>
      <c r="L128" s="23">
        <v>522.1</v>
      </c>
      <c r="M128" s="24">
        <v>519</v>
      </c>
      <c r="N128" s="24">
        <v>188</v>
      </c>
      <c r="O128" s="19">
        <v>0</v>
      </c>
      <c r="P128" s="19">
        <v>0</v>
      </c>
    </row>
    <row r="129" spans="1:16" s="19" customFormat="1">
      <c r="A129" s="19" t="s">
        <v>137</v>
      </c>
      <c r="B129" s="19" t="s">
        <v>45</v>
      </c>
      <c r="C129" s="19">
        <v>1991</v>
      </c>
      <c r="D129" s="19" t="s">
        <v>1709</v>
      </c>
      <c r="E129" s="18">
        <v>33314</v>
      </c>
      <c r="F129" s="18" t="str">
        <f t="shared" si="1"/>
        <v>PEPE1991_Marzo</v>
      </c>
      <c r="G129" s="20" t="s">
        <v>1461</v>
      </c>
      <c r="H129" s="21">
        <v>2.3583333333333334</v>
      </c>
      <c r="I129" s="21">
        <v>-78.655555555555566</v>
      </c>
      <c r="J129" s="22">
        <v>30.07</v>
      </c>
      <c r="K129" s="22">
        <v>28.44</v>
      </c>
      <c r="L129" s="23">
        <v>892.36</v>
      </c>
      <c r="M129" s="24">
        <v>54</v>
      </c>
      <c r="N129" s="24">
        <v>14</v>
      </c>
      <c r="O129" s="19">
        <v>0</v>
      </c>
      <c r="P129" s="19">
        <v>2</v>
      </c>
    </row>
    <row r="130" spans="1:16" s="19" customFormat="1">
      <c r="A130" s="19" t="s">
        <v>138</v>
      </c>
      <c r="B130" s="19" t="s">
        <v>45</v>
      </c>
      <c r="C130" s="19">
        <v>1991</v>
      </c>
      <c r="D130" s="19" t="s">
        <v>1709</v>
      </c>
      <c r="E130" s="18">
        <v>33314</v>
      </c>
      <c r="F130" s="18" t="str">
        <f t="shared" si="1"/>
        <v>PEPE1991_Marzo</v>
      </c>
      <c r="G130" s="20" t="s">
        <v>1462</v>
      </c>
      <c r="H130" s="21">
        <v>2.3555555555555556</v>
      </c>
      <c r="I130" s="21">
        <v>-78.716666666666669</v>
      </c>
      <c r="J130" s="22">
        <v>30.83</v>
      </c>
      <c r="K130" s="22">
        <v>28.23</v>
      </c>
      <c r="L130" s="23">
        <v>1263.79</v>
      </c>
      <c r="M130" s="24">
        <v>91</v>
      </c>
      <c r="N130" s="24">
        <v>961</v>
      </c>
      <c r="O130" s="19">
        <v>0</v>
      </c>
      <c r="P130" s="19">
        <v>97</v>
      </c>
    </row>
    <row r="131" spans="1:16" s="19" customFormat="1">
      <c r="A131" s="19" t="s">
        <v>139</v>
      </c>
      <c r="B131" s="19" t="s">
        <v>45</v>
      </c>
      <c r="C131" s="19">
        <v>1991</v>
      </c>
      <c r="D131" s="19" t="s">
        <v>1709</v>
      </c>
      <c r="E131" s="18">
        <v>33314</v>
      </c>
      <c r="F131" s="18" t="str">
        <f t="shared" ref="F131:F194" si="2">"PEPE"&amp;C131&amp;"_"&amp;D131</f>
        <v>PEPE1991_Marzo</v>
      </c>
      <c r="G131" s="20" t="s">
        <v>1463</v>
      </c>
      <c r="H131" s="21">
        <v>2.536111111111111</v>
      </c>
      <c r="I131" s="21">
        <v>-78.816666666666663</v>
      </c>
      <c r="J131" s="22">
        <v>31.63</v>
      </c>
      <c r="K131" s="22">
        <v>27.76</v>
      </c>
      <c r="L131" s="23">
        <v>541.85</v>
      </c>
      <c r="M131" s="24">
        <v>655</v>
      </c>
      <c r="N131" s="24">
        <v>404</v>
      </c>
      <c r="O131" s="19">
        <v>0</v>
      </c>
      <c r="P131" s="19">
        <v>54</v>
      </c>
    </row>
    <row r="132" spans="1:16" s="19" customFormat="1">
      <c r="A132" s="19" t="s">
        <v>140</v>
      </c>
      <c r="B132" s="19" t="s">
        <v>45</v>
      </c>
      <c r="C132" s="19">
        <v>1991</v>
      </c>
      <c r="D132" s="19" t="s">
        <v>1709</v>
      </c>
      <c r="E132" s="18">
        <v>33314</v>
      </c>
      <c r="F132" s="18" t="str">
        <f t="shared" si="2"/>
        <v>PEPE1991_Marzo</v>
      </c>
      <c r="G132" s="20" t="s">
        <v>1464</v>
      </c>
      <c r="H132" s="21">
        <v>2.4166666666666665</v>
      </c>
      <c r="I132" s="21">
        <v>-78.930555555555557</v>
      </c>
      <c r="J132" s="22">
        <v>31.41</v>
      </c>
      <c r="K132" s="22">
        <v>27.73</v>
      </c>
      <c r="L132" s="23">
        <v>957.32</v>
      </c>
      <c r="M132" s="24">
        <v>7914</v>
      </c>
      <c r="N132" s="24">
        <v>594</v>
      </c>
      <c r="O132" s="19">
        <v>0</v>
      </c>
      <c r="P132" s="19">
        <v>132</v>
      </c>
    </row>
    <row r="133" spans="1:16" s="19" customFormat="1">
      <c r="A133" s="19" t="s">
        <v>141</v>
      </c>
      <c r="B133" s="19" t="s">
        <v>45</v>
      </c>
      <c r="C133" s="19">
        <v>1991</v>
      </c>
      <c r="D133" s="19" t="s">
        <v>1709</v>
      </c>
      <c r="E133" s="18">
        <v>33315</v>
      </c>
      <c r="F133" s="18" t="str">
        <f t="shared" si="2"/>
        <v>PEPE1991_Marzo</v>
      </c>
      <c r="G133" s="20" t="s">
        <v>1465</v>
      </c>
      <c r="H133" s="21">
        <v>2.2833333333333332</v>
      </c>
      <c r="I133" s="21">
        <v>-79.261111111111106</v>
      </c>
      <c r="J133" s="22">
        <v>33.68</v>
      </c>
      <c r="K133" s="22">
        <v>27.22</v>
      </c>
      <c r="L133" s="23">
        <v>1054.2</v>
      </c>
      <c r="M133" s="24">
        <v>3716</v>
      </c>
      <c r="N133" s="24">
        <v>542</v>
      </c>
      <c r="O133" s="19">
        <v>0</v>
      </c>
      <c r="P133" s="19">
        <v>0</v>
      </c>
    </row>
    <row r="134" spans="1:16" s="19" customFormat="1">
      <c r="A134" s="19" t="s">
        <v>142</v>
      </c>
      <c r="B134" s="19" t="s">
        <v>45</v>
      </c>
      <c r="C134" s="19">
        <v>1991</v>
      </c>
      <c r="D134" s="19" t="s">
        <v>1709</v>
      </c>
      <c r="E134" s="18">
        <v>33315</v>
      </c>
      <c r="F134" s="18" t="str">
        <f t="shared" si="2"/>
        <v>PEPE1991_Marzo</v>
      </c>
      <c r="G134" s="20" t="s">
        <v>1466</v>
      </c>
      <c r="H134" s="21">
        <v>2.1916666666666664</v>
      </c>
      <c r="I134" s="21">
        <v>-78.705555555555563</v>
      </c>
      <c r="J134" s="22">
        <v>33.130000000000003</v>
      </c>
      <c r="K134" s="22">
        <v>27.21</v>
      </c>
      <c r="L134" s="23">
        <v>1781.8</v>
      </c>
      <c r="M134" s="24">
        <v>17</v>
      </c>
      <c r="N134" s="24">
        <v>10</v>
      </c>
      <c r="O134" s="19">
        <v>0</v>
      </c>
      <c r="P134" s="19">
        <v>0</v>
      </c>
    </row>
    <row r="135" spans="1:16" s="19" customFormat="1">
      <c r="A135" s="19" t="s">
        <v>143</v>
      </c>
      <c r="B135" s="19" t="s">
        <v>45</v>
      </c>
      <c r="C135" s="19">
        <v>1991</v>
      </c>
      <c r="D135" s="19" t="s">
        <v>1709</v>
      </c>
      <c r="E135" s="18">
        <v>33315</v>
      </c>
      <c r="F135" s="18" t="str">
        <f t="shared" si="2"/>
        <v>PEPE1991_Marzo</v>
      </c>
      <c r="G135" s="20" t="s">
        <v>1467</v>
      </c>
      <c r="H135" s="21">
        <v>2.1916666666666664</v>
      </c>
      <c r="I135" s="21">
        <v>-78.772222222222226</v>
      </c>
      <c r="J135" s="22">
        <v>31.77</v>
      </c>
      <c r="K135" s="22">
        <v>26.85</v>
      </c>
      <c r="L135" s="23">
        <v>715.38</v>
      </c>
      <c r="M135" s="24">
        <v>251</v>
      </c>
      <c r="N135" s="24">
        <v>2460</v>
      </c>
      <c r="O135" s="19">
        <v>0</v>
      </c>
      <c r="P135" s="19">
        <v>24</v>
      </c>
    </row>
    <row r="136" spans="1:16" s="19" customFormat="1">
      <c r="A136" s="19" t="s">
        <v>144</v>
      </c>
      <c r="B136" s="19" t="s">
        <v>45</v>
      </c>
      <c r="C136" s="19">
        <v>1991</v>
      </c>
      <c r="D136" s="19" t="s">
        <v>1709</v>
      </c>
      <c r="E136" s="18">
        <v>33315</v>
      </c>
      <c r="F136" s="18" t="str">
        <f t="shared" si="2"/>
        <v>PEPE1991_Marzo</v>
      </c>
      <c r="G136" s="20" t="s">
        <v>1468</v>
      </c>
      <c r="H136" s="21">
        <v>2.1583333333333332</v>
      </c>
      <c r="I136" s="21">
        <v>-78.86944444444444</v>
      </c>
      <c r="J136" s="22">
        <v>31.64</v>
      </c>
      <c r="K136" s="22">
        <v>26.3</v>
      </c>
      <c r="L136" s="23">
        <v>598.1</v>
      </c>
      <c r="M136" s="24">
        <v>13</v>
      </c>
      <c r="N136" s="24">
        <v>507</v>
      </c>
      <c r="O136" s="19">
        <v>0</v>
      </c>
      <c r="P136" s="19">
        <v>0</v>
      </c>
    </row>
    <row r="137" spans="1:16" s="19" customFormat="1">
      <c r="A137" s="19" t="s">
        <v>145</v>
      </c>
      <c r="B137" s="19" t="s">
        <v>45</v>
      </c>
      <c r="C137" s="19">
        <v>1991</v>
      </c>
      <c r="D137" s="19" t="s">
        <v>1709</v>
      </c>
      <c r="E137" s="18">
        <v>33315</v>
      </c>
      <c r="F137" s="18" t="str">
        <f t="shared" si="2"/>
        <v>PEPE1991_Marzo</v>
      </c>
      <c r="G137" s="20" t="s">
        <v>1469</v>
      </c>
      <c r="H137" s="21">
        <v>2.125</v>
      </c>
      <c r="I137" s="21">
        <v>-79.088888888888889</v>
      </c>
      <c r="J137" s="22">
        <v>29.88</v>
      </c>
      <c r="K137" s="22">
        <v>27.85</v>
      </c>
      <c r="L137" s="23">
        <v>1158.7</v>
      </c>
      <c r="M137" s="24">
        <v>349</v>
      </c>
      <c r="N137" s="24">
        <v>373</v>
      </c>
      <c r="O137" s="19">
        <v>0</v>
      </c>
      <c r="P137" s="19">
        <v>0</v>
      </c>
    </row>
    <row r="138" spans="1:16" s="19" customFormat="1">
      <c r="A138" s="19" t="s">
        <v>146</v>
      </c>
      <c r="B138" s="19" t="s">
        <v>45</v>
      </c>
      <c r="C138" s="19">
        <v>1991</v>
      </c>
      <c r="D138" s="19" t="s">
        <v>1709</v>
      </c>
      <c r="E138" s="18">
        <v>33315</v>
      </c>
      <c r="F138" s="18" t="str">
        <f t="shared" si="2"/>
        <v>PEPE1991_Marzo</v>
      </c>
      <c r="G138" s="20" t="s">
        <v>1470</v>
      </c>
      <c r="H138" s="21">
        <v>2.1638888888888888</v>
      </c>
      <c r="I138" s="21">
        <v>-79.336111111111109</v>
      </c>
      <c r="J138" s="22">
        <v>33.74</v>
      </c>
      <c r="K138" s="22">
        <v>26.92</v>
      </c>
      <c r="L138" s="23">
        <v>1003.99</v>
      </c>
      <c r="M138" s="24">
        <v>129</v>
      </c>
      <c r="N138" s="24">
        <v>911</v>
      </c>
      <c r="O138" s="19">
        <v>0</v>
      </c>
      <c r="P138" s="19">
        <v>0</v>
      </c>
    </row>
    <row r="139" spans="1:16" s="19" customFormat="1">
      <c r="A139" s="19" t="s">
        <v>147</v>
      </c>
      <c r="B139" s="19" t="s">
        <v>45</v>
      </c>
      <c r="C139" s="19">
        <v>1991</v>
      </c>
      <c r="D139" s="19" t="s">
        <v>1709</v>
      </c>
      <c r="E139" s="18">
        <v>33315</v>
      </c>
      <c r="F139" s="18" t="str">
        <f t="shared" si="2"/>
        <v>PEPE1991_Marzo</v>
      </c>
      <c r="G139" s="20" t="s">
        <v>1471</v>
      </c>
      <c r="H139" s="21">
        <v>2</v>
      </c>
      <c r="I139" s="21">
        <v>-78.666666666666671</v>
      </c>
      <c r="J139" s="22">
        <v>30.02</v>
      </c>
      <c r="K139" s="22">
        <v>28.63</v>
      </c>
      <c r="L139" s="23">
        <v>259.44</v>
      </c>
      <c r="M139" s="24">
        <v>1252</v>
      </c>
      <c r="N139" s="24">
        <v>58</v>
      </c>
      <c r="O139" s="19">
        <v>4467</v>
      </c>
      <c r="P139" s="19">
        <v>0</v>
      </c>
    </row>
    <row r="140" spans="1:16" s="19" customFormat="1">
      <c r="A140" s="19" t="s">
        <v>148</v>
      </c>
      <c r="B140" s="19" t="s">
        <v>45</v>
      </c>
      <c r="C140" s="19">
        <v>1991</v>
      </c>
      <c r="D140" s="19" t="s">
        <v>1709</v>
      </c>
      <c r="E140" s="18">
        <v>33315</v>
      </c>
      <c r="F140" s="18" t="str">
        <f t="shared" si="2"/>
        <v>PEPE1991_Marzo</v>
      </c>
      <c r="G140" s="20" t="s">
        <v>1472</v>
      </c>
      <c r="H140" s="21">
        <v>1.9944444444444445</v>
      </c>
      <c r="I140" s="21">
        <v>-78.733333333333334</v>
      </c>
      <c r="J140" s="22">
        <v>32.89</v>
      </c>
      <c r="K140" s="22">
        <v>28.19</v>
      </c>
      <c r="L140" s="23">
        <v>662.05</v>
      </c>
      <c r="M140" s="24">
        <v>4760</v>
      </c>
      <c r="N140" s="24">
        <v>154</v>
      </c>
      <c r="O140" s="19">
        <v>4467</v>
      </c>
      <c r="P140" s="19">
        <v>0</v>
      </c>
    </row>
    <row r="141" spans="1:16" s="19" customFormat="1">
      <c r="A141" s="19" t="s">
        <v>149</v>
      </c>
      <c r="B141" s="19" t="s">
        <v>45</v>
      </c>
      <c r="C141" s="19">
        <v>1991</v>
      </c>
      <c r="D141" s="19" t="s">
        <v>1709</v>
      </c>
      <c r="E141" s="18">
        <v>33315</v>
      </c>
      <c r="F141" s="18" t="str">
        <f t="shared" si="2"/>
        <v>PEPE1991_Marzo</v>
      </c>
      <c r="G141" s="20" t="s">
        <v>1473</v>
      </c>
      <c r="H141" s="21">
        <v>1.9916666666666667</v>
      </c>
      <c r="I141" s="21">
        <v>-78.855555555555554</v>
      </c>
      <c r="J141" s="22">
        <v>30.15</v>
      </c>
      <c r="K141" s="22">
        <v>28.54</v>
      </c>
      <c r="L141" s="23">
        <v>446.59</v>
      </c>
      <c r="M141" s="24">
        <v>24</v>
      </c>
      <c r="N141" s="24">
        <v>944</v>
      </c>
      <c r="O141" s="19">
        <v>0</v>
      </c>
      <c r="P141" s="19">
        <v>0</v>
      </c>
    </row>
    <row r="142" spans="1:16" s="19" customFormat="1">
      <c r="A142" s="19" t="s">
        <v>150</v>
      </c>
      <c r="B142" s="19" t="s">
        <v>45</v>
      </c>
      <c r="C142" s="19">
        <v>1991</v>
      </c>
      <c r="D142" s="19" t="s">
        <v>1709</v>
      </c>
      <c r="E142" s="18">
        <v>33315</v>
      </c>
      <c r="F142" s="18" t="str">
        <f t="shared" si="2"/>
        <v>PEPE1991_Marzo</v>
      </c>
      <c r="G142" s="20" t="s">
        <v>1474</v>
      </c>
      <c r="H142" s="21">
        <v>2.036111111111111</v>
      </c>
      <c r="I142" s="21">
        <v>-78.99722222222222</v>
      </c>
      <c r="J142" s="22">
        <v>31.32</v>
      </c>
      <c r="K142" s="22">
        <v>28.12</v>
      </c>
      <c r="L142" s="23">
        <v>696.13</v>
      </c>
      <c r="M142" s="24">
        <v>0</v>
      </c>
      <c r="N142" s="24">
        <v>262</v>
      </c>
      <c r="O142" s="19">
        <v>0</v>
      </c>
      <c r="P142" s="19">
        <v>10</v>
      </c>
    </row>
    <row r="143" spans="1:16" s="19" customFormat="1">
      <c r="A143" s="19" t="s">
        <v>151</v>
      </c>
      <c r="B143" s="19" t="s">
        <v>45</v>
      </c>
      <c r="C143" s="19">
        <v>1991</v>
      </c>
      <c r="D143" s="19" t="s">
        <v>1709</v>
      </c>
      <c r="E143" s="18">
        <v>33315</v>
      </c>
      <c r="F143" s="18" t="str">
        <f t="shared" si="2"/>
        <v>PEPE1991_Marzo</v>
      </c>
      <c r="G143" s="20" t="s">
        <v>1475</v>
      </c>
      <c r="H143" s="21">
        <v>1.9777777777777779</v>
      </c>
      <c r="I143" s="21">
        <v>-79.322222222222223</v>
      </c>
      <c r="J143" s="22">
        <v>33.79</v>
      </c>
      <c r="K143" s="22">
        <v>26.74</v>
      </c>
      <c r="L143" s="23">
        <v>714.85</v>
      </c>
      <c r="M143" s="24">
        <v>460</v>
      </c>
      <c r="N143" s="24">
        <v>597</v>
      </c>
      <c r="O143" s="19">
        <v>0</v>
      </c>
      <c r="P143" s="19">
        <v>0</v>
      </c>
    </row>
    <row r="144" spans="1:16" s="19" customFormat="1">
      <c r="A144" s="19" t="s">
        <v>15</v>
      </c>
      <c r="B144" s="19" t="s">
        <v>45</v>
      </c>
      <c r="C144" s="19">
        <v>1991</v>
      </c>
      <c r="D144" s="19" t="s">
        <v>1709</v>
      </c>
      <c r="E144" s="18">
        <v>33316</v>
      </c>
      <c r="F144" s="18" t="str">
        <f t="shared" si="2"/>
        <v>PEPE1991_Marzo</v>
      </c>
      <c r="G144" s="20" t="s">
        <v>1476</v>
      </c>
      <c r="H144" s="21">
        <v>1.8583333333333334</v>
      </c>
      <c r="I144" s="21">
        <v>-78.766666666666666</v>
      </c>
      <c r="J144" s="22">
        <v>31.98</v>
      </c>
      <c r="K144" s="22">
        <v>27.14</v>
      </c>
      <c r="L144" s="23">
        <v>1082.24</v>
      </c>
      <c r="M144" s="24">
        <v>47</v>
      </c>
      <c r="N144" s="24">
        <v>7</v>
      </c>
      <c r="O144" s="19">
        <v>8</v>
      </c>
      <c r="P144" s="19">
        <v>0</v>
      </c>
    </row>
    <row r="145" spans="1:16" s="19" customFormat="1">
      <c r="A145" s="19" t="s">
        <v>152</v>
      </c>
      <c r="B145" s="19" t="s">
        <v>45</v>
      </c>
      <c r="C145" s="19">
        <v>1991</v>
      </c>
      <c r="D145" s="19" t="s">
        <v>1709</v>
      </c>
      <c r="E145" s="18">
        <v>33316</v>
      </c>
      <c r="F145" s="18" t="str">
        <f t="shared" si="2"/>
        <v>PEPE1991_Marzo</v>
      </c>
      <c r="G145" s="20" t="s">
        <v>1477</v>
      </c>
      <c r="H145" s="21">
        <v>1.8638888888888889</v>
      </c>
      <c r="I145" s="21">
        <v>-78.841666666666669</v>
      </c>
      <c r="J145" s="22">
        <v>31.79</v>
      </c>
      <c r="K145" s="22">
        <v>26.85</v>
      </c>
      <c r="L145" s="23">
        <v>1233.6600000000001</v>
      </c>
      <c r="M145" s="24">
        <v>13</v>
      </c>
      <c r="N145" s="24">
        <v>66</v>
      </c>
      <c r="O145" s="19">
        <v>0</v>
      </c>
      <c r="P145" s="19">
        <v>23</v>
      </c>
    </row>
    <row r="146" spans="1:16" s="19" customFormat="1">
      <c r="A146" s="19" t="s">
        <v>153</v>
      </c>
      <c r="B146" s="19" t="s">
        <v>45</v>
      </c>
      <c r="C146" s="19">
        <v>1991</v>
      </c>
      <c r="D146" s="19" t="s">
        <v>1709</v>
      </c>
      <c r="E146" s="18">
        <v>33316</v>
      </c>
      <c r="F146" s="18" t="str">
        <f t="shared" si="2"/>
        <v>PEPE1991_Marzo</v>
      </c>
      <c r="G146" s="20" t="s">
        <v>1478</v>
      </c>
      <c r="H146" s="21">
        <v>1.8611111111111112</v>
      </c>
      <c r="I146" s="21">
        <v>-78.944444444444443</v>
      </c>
      <c r="J146" s="22">
        <v>31.91</v>
      </c>
      <c r="K146" s="22">
        <v>26.93</v>
      </c>
      <c r="L146" s="23">
        <v>324.3</v>
      </c>
      <c r="M146" s="24">
        <v>195</v>
      </c>
      <c r="N146" s="24">
        <v>374</v>
      </c>
      <c r="O146" s="19">
        <v>0</v>
      </c>
      <c r="P146" s="19">
        <v>0</v>
      </c>
    </row>
    <row r="147" spans="1:16" s="19" customFormat="1">
      <c r="A147" s="19" t="s">
        <v>154</v>
      </c>
      <c r="B147" s="19" t="s">
        <v>45</v>
      </c>
      <c r="C147" s="19">
        <v>1991</v>
      </c>
      <c r="D147" s="19" t="s">
        <v>1709</v>
      </c>
      <c r="E147" s="18">
        <v>33316</v>
      </c>
      <c r="F147" s="18" t="str">
        <f t="shared" si="2"/>
        <v>PEPE1991_Marzo</v>
      </c>
      <c r="G147" s="19" t="s">
        <v>1479</v>
      </c>
      <c r="H147" s="21">
        <v>1.875</v>
      </c>
      <c r="I147" s="21">
        <v>-79.022222222222226</v>
      </c>
      <c r="J147" s="22">
        <v>31.48</v>
      </c>
      <c r="K147" s="22">
        <v>27.12</v>
      </c>
      <c r="L147" s="23">
        <v>632.16</v>
      </c>
      <c r="M147" s="24">
        <v>98</v>
      </c>
      <c r="N147" s="24">
        <v>2943</v>
      </c>
      <c r="O147" s="25">
        <v>0</v>
      </c>
      <c r="P147" s="25">
        <v>49</v>
      </c>
    </row>
    <row r="148" spans="1:16" s="19" customFormat="1">
      <c r="A148" s="19" t="s">
        <v>155</v>
      </c>
      <c r="B148" s="19" t="s">
        <v>45</v>
      </c>
      <c r="C148" s="19">
        <v>1991</v>
      </c>
      <c r="D148" s="19" t="s">
        <v>1709</v>
      </c>
      <c r="E148" s="18">
        <v>33316</v>
      </c>
      <c r="F148" s="18" t="str">
        <f t="shared" si="2"/>
        <v>PEPE1991_Marzo</v>
      </c>
      <c r="G148" s="19" t="s">
        <v>1480</v>
      </c>
      <c r="H148" s="21">
        <v>1.8694444444444445</v>
      </c>
      <c r="I148" s="21">
        <v>-79.188888888888897</v>
      </c>
      <c r="J148" s="22">
        <v>33.840000000000003</v>
      </c>
      <c r="K148" s="22">
        <v>27.05</v>
      </c>
      <c r="L148" s="23">
        <v>1083.19</v>
      </c>
      <c r="M148" s="24">
        <v>322</v>
      </c>
      <c r="N148" s="24">
        <v>500</v>
      </c>
      <c r="O148" s="25">
        <v>0</v>
      </c>
      <c r="P148" s="25">
        <v>0</v>
      </c>
    </row>
    <row r="149" spans="1:16" s="19" customFormat="1">
      <c r="A149" s="19" t="s">
        <v>156</v>
      </c>
      <c r="B149" s="19" t="s">
        <v>45</v>
      </c>
      <c r="C149" s="19">
        <v>1991</v>
      </c>
      <c r="D149" s="19" t="s">
        <v>1709</v>
      </c>
      <c r="E149" s="18">
        <v>33316</v>
      </c>
      <c r="F149" s="18" t="str">
        <f t="shared" si="2"/>
        <v>PEPE1991_Marzo</v>
      </c>
      <c r="G149" s="20" t="s">
        <v>1481</v>
      </c>
      <c r="H149" s="21">
        <v>1.8222222222222222</v>
      </c>
      <c r="I149" s="21">
        <v>-79.533333333333331</v>
      </c>
      <c r="J149" s="22">
        <v>33.909999999999997</v>
      </c>
      <c r="K149" s="22">
        <v>26.74</v>
      </c>
      <c r="L149" s="23">
        <v>1424.59</v>
      </c>
      <c r="M149" s="24">
        <v>392</v>
      </c>
      <c r="N149" s="24">
        <v>957</v>
      </c>
      <c r="O149" s="19">
        <v>0</v>
      </c>
      <c r="P149" s="19">
        <v>0</v>
      </c>
    </row>
    <row r="150" spans="1:16" s="19" customFormat="1">
      <c r="A150" s="19" t="s">
        <v>157</v>
      </c>
      <c r="B150" s="19" t="s">
        <v>45</v>
      </c>
      <c r="C150" s="19">
        <v>1991</v>
      </c>
      <c r="D150" s="19" t="s">
        <v>1709</v>
      </c>
      <c r="E150" s="18">
        <v>33316</v>
      </c>
      <c r="F150" s="18" t="str">
        <f t="shared" si="2"/>
        <v>PEPE1991_Marzo</v>
      </c>
      <c r="G150" s="20" t="s">
        <v>1482</v>
      </c>
      <c r="H150" s="21">
        <v>1.6888888888888889</v>
      </c>
      <c r="I150" s="21">
        <v>-79.016666666666666</v>
      </c>
      <c r="J150" s="22">
        <v>31.38</v>
      </c>
      <c r="K150" s="22">
        <v>27.69</v>
      </c>
      <c r="L150" s="23">
        <v>1112.22</v>
      </c>
      <c r="M150" s="24">
        <v>222</v>
      </c>
      <c r="N150" s="24">
        <v>94</v>
      </c>
      <c r="O150" s="19">
        <v>44</v>
      </c>
      <c r="P150" s="19">
        <v>28</v>
      </c>
    </row>
    <row r="151" spans="1:16" s="19" customFormat="1">
      <c r="A151" s="19" t="s">
        <v>158</v>
      </c>
      <c r="B151" s="19" t="s">
        <v>45</v>
      </c>
      <c r="C151" s="19">
        <v>1991</v>
      </c>
      <c r="D151" s="19" t="s">
        <v>1709</v>
      </c>
      <c r="E151" s="18">
        <v>33316</v>
      </c>
      <c r="F151" s="18" t="str">
        <f t="shared" si="2"/>
        <v>PEPE1991_Marzo</v>
      </c>
      <c r="G151" s="20" t="s">
        <v>1483</v>
      </c>
      <c r="H151" s="21">
        <v>1.6888888888888889</v>
      </c>
      <c r="I151" s="21">
        <v>-79.108333333333334</v>
      </c>
      <c r="J151" s="22">
        <v>31.54</v>
      </c>
      <c r="K151" s="22">
        <v>29.06</v>
      </c>
      <c r="L151" s="23">
        <v>498.13</v>
      </c>
      <c r="M151" s="24">
        <v>103</v>
      </c>
      <c r="N151" s="24">
        <v>659</v>
      </c>
      <c r="O151" s="19">
        <v>0</v>
      </c>
      <c r="P151" s="19">
        <v>10</v>
      </c>
    </row>
    <row r="152" spans="1:16" s="19" customFormat="1">
      <c r="A152" s="19" t="s">
        <v>159</v>
      </c>
      <c r="B152" s="19" t="s">
        <v>45</v>
      </c>
      <c r="C152" s="19">
        <v>1991</v>
      </c>
      <c r="D152" s="19" t="s">
        <v>1709</v>
      </c>
      <c r="E152" s="18">
        <v>33316</v>
      </c>
      <c r="F152" s="18" t="str">
        <f t="shared" si="2"/>
        <v>PEPE1991_Marzo</v>
      </c>
      <c r="G152" s="20" t="s">
        <v>1484</v>
      </c>
      <c r="H152" s="21">
        <v>1.6888888888888889</v>
      </c>
      <c r="I152" s="21">
        <v>-79.180555555555557</v>
      </c>
      <c r="J152" s="22">
        <v>31.29</v>
      </c>
      <c r="K152" s="22">
        <v>28.35</v>
      </c>
      <c r="L152" s="23">
        <v>392.99</v>
      </c>
      <c r="M152" s="24">
        <v>83</v>
      </c>
      <c r="N152" s="24">
        <v>248</v>
      </c>
      <c r="O152" s="19">
        <v>0</v>
      </c>
      <c r="P152" s="19">
        <v>0</v>
      </c>
    </row>
    <row r="153" spans="1:16" s="19" customFormat="1">
      <c r="A153" s="19" t="s">
        <v>160</v>
      </c>
      <c r="B153" s="19" t="s">
        <v>45</v>
      </c>
      <c r="C153" s="19">
        <v>1991</v>
      </c>
      <c r="D153" s="19" t="s">
        <v>1709</v>
      </c>
      <c r="E153" s="18">
        <v>33316</v>
      </c>
      <c r="F153" s="18" t="str">
        <f t="shared" si="2"/>
        <v>PEPE1991_Marzo</v>
      </c>
      <c r="G153" s="20" t="s">
        <v>1485</v>
      </c>
      <c r="H153" s="21">
        <v>1.6972222222222222</v>
      </c>
      <c r="I153" s="21">
        <v>-79.305555555555557</v>
      </c>
      <c r="J153" s="22">
        <v>33.020000000000003</v>
      </c>
      <c r="K153" s="22">
        <v>25.96</v>
      </c>
      <c r="L153" s="23">
        <v>765.75</v>
      </c>
      <c r="M153" s="24">
        <v>381</v>
      </c>
      <c r="N153" s="24">
        <v>195</v>
      </c>
      <c r="O153" s="19">
        <v>0</v>
      </c>
      <c r="P153" s="19">
        <v>0</v>
      </c>
    </row>
    <row r="154" spans="1:16" s="19" customFormat="1">
      <c r="A154" s="19" t="s">
        <v>161</v>
      </c>
      <c r="B154" s="19" t="s">
        <v>45</v>
      </c>
      <c r="C154" s="19">
        <v>1991</v>
      </c>
      <c r="D154" s="19" t="s">
        <v>1709</v>
      </c>
      <c r="E154" s="18">
        <v>33316</v>
      </c>
      <c r="F154" s="18" t="str">
        <f t="shared" si="2"/>
        <v>PEPE1991_Marzo</v>
      </c>
      <c r="G154" s="20" t="s">
        <v>1486</v>
      </c>
      <c r="H154" s="21">
        <v>1.6861111111111111</v>
      </c>
      <c r="I154" s="21">
        <v>-79.650000000000006</v>
      </c>
      <c r="J154" s="22">
        <v>34.07</v>
      </c>
      <c r="K154" s="22">
        <v>27.2</v>
      </c>
      <c r="L154" s="23">
        <v>463.05</v>
      </c>
      <c r="M154" s="24">
        <v>867</v>
      </c>
      <c r="N154" s="24">
        <v>482</v>
      </c>
      <c r="O154" s="19">
        <v>0</v>
      </c>
      <c r="P154" s="19">
        <v>0</v>
      </c>
    </row>
    <row r="155" spans="1:16" s="19" customFormat="1">
      <c r="A155" s="19" t="s">
        <v>162</v>
      </c>
      <c r="B155" s="19" t="s">
        <v>45</v>
      </c>
      <c r="C155" s="19">
        <v>1991</v>
      </c>
      <c r="D155" s="19" t="s">
        <v>1709</v>
      </c>
      <c r="E155" s="18">
        <v>33317</v>
      </c>
      <c r="F155" s="18" t="str">
        <f t="shared" si="2"/>
        <v>PEPE1991_Marzo</v>
      </c>
      <c r="G155" s="20" t="s">
        <v>1487</v>
      </c>
      <c r="H155" s="21">
        <v>1.5666666666666667</v>
      </c>
      <c r="I155" s="21">
        <v>-78.972222222222229</v>
      </c>
      <c r="J155" s="22">
        <v>29.17</v>
      </c>
      <c r="K155" s="22">
        <v>27.15</v>
      </c>
      <c r="L155" s="23">
        <v>669.33</v>
      </c>
      <c r="M155" s="24">
        <v>3235</v>
      </c>
      <c r="N155" s="24">
        <v>45</v>
      </c>
      <c r="O155" s="19">
        <v>0</v>
      </c>
      <c r="P155" s="19">
        <v>32</v>
      </c>
    </row>
    <row r="156" spans="1:16" s="19" customFormat="1">
      <c r="A156" s="19" t="s">
        <v>163</v>
      </c>
      <c r="B156" s="19" t="s">
        <v>45</v>
      </c>
      <c r="C156" s="19">
        <v>1991</v>
      </c>
      <c r="D156" s="19" t="s">
        <v>1709</v>
      </c>
      <c r="E156" s="18">
        <v>33317</v>
      </c>
      <c r="F156" s="18" t="str">
        <f t="shared" si="2"/>
        <v>PEPE1991_Marzo</v>
      </c>
      <c r="G156" s="20" t="s">
        <v>1488</v>
      </c>
      <c r="H156" s="21">
        <v>1.5888888888888888</v>
      </c>
      <c r="I156" s="21">
        <v>-79.038888888888891</v>
      </c>
      <c r="J156" s="22">
        <v>28.8</v>
      </c>
      <c r="K156" s="22">
        <v>26</v>
      </c>
      <c r="L156" s="23">
        <v>472.45</v>
      </c>
      <c r="M156" s="24">
        <v>2489</v>
      </c>
      <c r="N156" s="24">
        <v>237</v>
      </c>
      <c r="O156" s="19">
        <v>1133</v>
      </c>
      <c r="P156" s="19">
        <v>28</v>
      </c>
    </row>
    <row r="157" spans="1:16" s="19" customFormat="1">
      <c r="A157" s="19" t="s">
        <v>164</v>
      </c>
      <c r="B157" s="19" t="s">
        <v>45</v>
      </c>
      <c r="C157" s="19">
        <v>1991</v>
      </c>
      <c r="D157" s="19" t="s">
        <v>1709</v>
      </c>
      <c r="E157" s="18">
        <v>33317</v>
      </c>
      <c r="F157" s="18" t="str">
        <f t="shared" si="2"/>
        <v>PEPE1991_Marzo</v>
      </c>
      <c r="G157" s="20" t="s">
        <v>1489</v>
      </c>
      <c r="H157" s="21">
        <v>1.575</v>
      </c>
      <c r="I157" s="21">
        <v>-79.213888888888889</v>
      </c>
      <c r="J157" s="22">
        <v>32.15</v>
      </c>
      <c r="K157" s="22">
        <v>27.78</v>
      </c>
      <c r="L157" s="23">
        <v>540.49</v>
      </c>
      <c r="M157" s="24">
        <v>186</v>
      </c>
      <c r="N157" s="24">
        <v>510</v>
      </c>
      <c r="O157" s="19">
        <v>0</v>
      </c>
      <c r="P157" s="19">
        <v>10</v>
      </c>
    </row>
    <row r="158" spans="1:16" s="19" customFormat="1">
      <c r="A158" s="19" t="s">
        <v>165</v>
      </c>
      <c r="B158" s="19" t="s">
        <v>45</v>
      </c>
      <c r="C158" s="19">
        <v>1991</v>
      </c>
      <c r="D158" s="19" t="s">
        <v>1709</v>
      </c>
      <c r="E158" s="18">
        <v>33316</v>
      </c>
      <c r="F158" s="18" t="str">
        <f t="shared" si="2"/>
        <v>PEPE1991_Marzo</v>
      </c>
      <c r="G158" s="20" t="s">
        <v>1490</v>
      </c>
      <c r="H158" s="21">
        <v>1.5333333333333332</v>
      </c>
      <c r="I158" s="21">
        <v>-79.533333333333331</v>
      </c>
      <c r="J158" s="22">
        <v>32.06</v>
      </c>
      <c r="K158" s="22">
        <v>27.83</v>
      </c>
      <c r="L158" s="23">
        <v>558.37</v>
      </c>
      <c r="M158" s="24">
        <v>2147</v>
      </c>
      <c r="N158" s="24">
        <v>486</v>
      </c>
      <c r="O158" s="19">
        <v>0</v>
      </c>
      <c r="P158" s="19">
        <v>0</v>
      </c>
    </row>
    <row r="159" spans="1:16">
      <c r="A159" s="1" t="s">
        <v>166</v>
      </c>
      <c r="B159" s="1" t="s">
        <v>167</v>
      </c>
      <c r="C159" s="1">
        <v>1991</v>
      </c>
      <c r="D159" s="1" t="s">
        <v>1710</v>
      </c>
      <c r="E159" s="17">
        <v>33483</v>
      </c>
      <c r="F159" s="18" t="str">
        <f t="shared" si="2"/>
        <v>PEPE1991_Septiembre</v>
      </c>
      <c r="G159" s="2" t="s">
        <v>1334</v>
      </c>
      <c r="H159" s="3">
        <v>7.0805555555555557</v>
      </c>
      <c r="I159" s="3">
        <v>-77.75277777777778</v>
      </c>
      <c r="J159" s="12">
        <v>29.12</v>
      </c>
      <c r="K159" s="12">
        <v>28.6</v>
      </c>
      <c r="L159" s="4">
        <v>141.65528185291245</v>
      </c>
      <c r="M159" s="5">
        <v>430</v>
      </c>
      <c r="N159" s="5">
        <v>6</v>
      </c>
      <c r="O159" s="5">
        <v>205</v>
      </c>
      <c r="P159" s="5">
        <v>0</v>
      </c>
    </row>
    <row r="160" spans="1:16">
      <c r="A160" s="1" t="s">
        <v>168</v>
      </c>
      <c r="B160" s="1" t="s">
        <v>167</v>
      </c>
      <c r="C160" s="1">
        <v>1991</v>
      </c>
      <c r="D160" s="1" t="s">
        <v>1710</v>
      </c>
      <c r="E160" s="17">
        <v>33483</v>
      </c>
      <c r="F160" s="18" t="str">
        <f t="shared" si="2"/>
        <v>PEPE1991_Septiembre</v>
      </c>
      <c r="G160" s="2" t="s">
        <v>1335</v>
      </c>
      <c r="H160" s="3">
        <v>7.0750000000000002</v>
      </c>
      <c r="I160" s="3">
        <v>-77.838888888888889</v>
      </c>
      <c r="J160" s="12">
        <v>28.76</v>
      </c>
      <c r="K160" s="12">
        <v>28.8</v>
      </c>
      <c r="L160" s="4">
        <v>99.401303361867548</v>
      </c>
      <c r="M160" s="5">
        <v>74</v>
      </c>
      <c r="N160" s="5">
        <v>582</v>
      </c>
      <c r="O160" s="5">
        <v>17</v>
      </c>
      <c r="P160" s="5">
        <v>0</v>
      </c>
    </row>
    <row r="161" spans="1:16">
      <c r="A161" s="1" t="s">
        <v>169</v>
      </c>
      <c r="B161" s="1" t="s">
        <v>167</v>
      </c>
      <c r="C161" s="1">
        <v>1991</v>
      </c>
      <c r="D161" s="1" t="s">
        <v>1710</v>
      </c>
      <c r="E161" s="17">
        <v>33483</v>
      </c>
      <c r="F161" s="18" t="str">
        <f t="shared" si="2"/>
        <v>PEPE1991_Septiembre</v>
      </c>
      <c r="G161" s="2" t="s">
        <v>1336</v>
      </c>
      <c r="H161" s="3">
        <v>7.0861111111111112</v>
      </c>
      <c r="I161" s="3">
        <v>-77.913888888888891</v>
      </c>
      <c r="J161" s="12">
        <v>28.24</v>
      </c>
      <c r="K161" s="12">
        <v>29.2</v>
      </c>
      <c r="L161" s="4">
        <v>47.163331773070965</v>
      </c>
      <c r="M161" s="5">
        <v>244</v>
      </c>
      <c r="N161" s="5">
        <v>1204</v>
      </c>
      <c r="O161" s="5">
        <v>52</v>
      </c>
      <c r="P161" s="5">
        <v>0</v>
      </c>
    </row>
    <row r="162" spans="1:16">
      <c r="A162" s="1" t="s">
        <v>170</v>
      </c>
      <c r="B162" s="1" t="s">
        <v>167</v>
      </c>
      <c r="C162" s="1">
        <v>1991</v>
      </c>
      <c r="D162" s="1" t="s">
        <v>1710</v>
      </c>
      <c r="E162" s="17">
        <v>33483</v>
      </c>
      <c r="F162" s="18" t="str">
        <f t="shared" si="2"/>
        <v>PEPE1991_Septiembre</v>
      </c>
      <c r="G162" s="2" t="s">
        <v>1491</v>
      </c>
      <c r="H162" s="3">
        <v>7.0888888888888886</v>
      </c>
      <c r="I162" s="3">
        <v>-78</v>
      </c>
      <c r="J162" s="12">
        <v>28.9</v>
      </c>
      <c r="K162" s="12">
        <v>29.2</v>
      </c>
      <c r="L162" s="4">
        <v>105.10289926747545</v>
      </c>
      <c r="M162" s="5">
        <v>102</v>
      </c>
      <c r="N162" s="5">
        <v>251</v>
      </c>
      <c r="O162" s="5">
        <v>28</v>
      </c>
      <c r="P162" s="5">
        <v>0</v>
      </c>
    </row>
    <row r="163" spans="1:16">
      <c r="A163" s="1" t="s">
        <v>171</v>
      </c>
      <c r="B163" s="1" t="s">
        <v>167</v>
      </c>
      <c r="C163" s="1">
        <v>1991</v>
      </c>
      <c r="D163" s="1" t="s">
        <v>1710</v>
      </c>
      <c r="E163" s="17">
        <v>33483</v>
      </c>
      <c r="F163" s="18" t="str">
        <f t="shared" si="2"/>
        <v>PEPE1991_Septiembre</v>
      </c>
      <c r="G163" s="2" t="s">
        <v>1492</v>
      </c>
      <c r="H163" s="3">
        <v>6.8166666666666664</v>
      </c>
      <c r="I163" s="3">
        <v>-77.708333333333343</v>
      </c>
      <c r="J163" s="12">
        <v>28.92</v>
      </c>
      <c r="K163" s="12">
        <v>28.9</v>
      </c>
      <c r="L163" s="4">
        <v>277.24336850920696</v>
      </c>
      <c r="M163" s="5">
        <v>131</v>
      </c>
      <c r="N163" s="5">
        <v>317</v>
      </c>
      <c r="O163" s="5">
        <v>0</v>
      </c>
      <c r="P163" s="5">
        <v>23.892217401748994</v>
      </c>
    </row>
    <row r="164" spans="1:16">
      <c r="A164" s="1" t="s">
        <v>172</v>
      </c>
      <c r="B164" s="1" t="s">
        <v>167</v>
      </c>
      <c r="C164" s="1">
        <v>1991</v>
      </c>
      <c r="D164" s="1" t="s">
        <v>1710</v>
      </c>
      <c r="E164" s="17">
        <v>33483</v>
      </c>
      <c r="F164" s="18" t="str">
        <f t="shared" si="2"/>
        <v>PEPE1991_Septiembre</v>
      </c>
      <c r="G164" s="2" t="s">
        <v>1338</v>
      </c>
      <c r="H164" s="3">
        <v>6.8361111111111112</v>
      </c>
      <c r="I164" s="3">
        <v>-77.791666666666671</v>
      </c>
      <c r="J164" s="12">
        <v>29.28</v>
      </c>
      <c r="K164" s="12">
        <v>28.8</v>
      </c>
      <c r="L164" s="4">
        <v>78.425743904022383</v>
      </c>
      <c r="M164" s="5">
        <v>61</v>
      </c>
      <c r="N164" s="5">
        <v>109</v>
      </c>
      <c r="O164" s="5">
        <v>0</v>
      </c>
      <c r="P164" s="5">
        <v>0</v>
      </c>
    </row>
    <row r="165" spans="1:16">
      <c r="A165" s="1" t="s">
        <v>173</v>
      </c>
      <c r="B165" s="1" t="s">
        <v>167</v>
      </c>
      <c r="C165" s="1">
        <v>1991</v>
      </c>
      <c r="D165" s="1" t="s">
        <v>1710</v>
      </c>
      <c r="E165" s="17">
        <v>33483</v>
      </c>
      <c r="F165" s="18" t="str">
        <f t="shared" si="2"/>
        <v>PEPE1991_Septiembre</v>
      </c>
      <c r="G165" s="2" t="s">
        <v>1339</v>
      </c>
      <c r="H165" s="3">
        <v>6.8361111111111112</v>
      </c>
      <c r="I165" s="3">
        <v>-77.944444444444443</v>
      </c>
      <c r="J165" s="12">
        <v>29.19</v>
      </c>
      <c r="K165" s="12">
        <v>29.4</v>
      </c>
      <c r="L165" s="4">
        <v>85.82925202856002</v>
      </c>
      <c r="M165" s="5">
        <v>32</v>
      </c>
      <c r="N165" s="5">
        <v>246</v>
      </c>
      <c r="O165" s="5">
        <v>0</v>
      </c>
      <c r="P165" s="5">
        <v>0</v>
      </c>
    </row>
    <row r="166" spans="1:16">
      <c r="A166" s="1" t="s">
        <v>174</v>
      </c>
      <c r="B166" s="1" t="s">
        <v>167</v>
      </c>
      <c r="C166" s="1">
        <v>1991</v>
      </c>
      <c r="D166" s="1" t="s">
        <v>1710</v>
      </c>
      <c r="E166" s="17">
        <v>33483</v>
      </c>
      <c r="F166" s="18" t="str">
        <f t="shared" si="2"/>
        <v>PEPE1991_Septiembre</v>
      </c>
      <c r="G166" s="2" t="s">
        <v>1340</v>
      </c>
      <c r="H166" s="3">
        <v>6.833333333333333</v>
      </c>
      <c r="I166" s="3">
        <v>-78.108333333333334</v>
      </c>
      <c r="J166" s="12">
        <v>29.34</v>
      </c>
      <c r="K166" s="12">
        <v>29</v>
      </c>
      <c r="L166" s="4">
        <v>61.357127981308786</v>
      </c>
      <c r="M166" s="5">
        <v>124</v>
      </c>
      <c r="N166" s="5">
        <v>138</v>
      </c>
      <c r="O166" s="5">
        <v>0</v>
      </c>
      <c r="P166" s="5">
        <v>0</v>
      </c>
    </row>
    <row r="167" spans="1:16">
      <c r="A167" s="1" t="s">
        <v>175</v>
      </c>
      <c r="B167" s="1" t="s">
        <v>167</v>
      </c>
      <c r="C167" s="1">
        <v>1991</v>
      </c>
      <c r="D167" s="1" t="s">
        <v>1710</v>
      </c>
      <c r="E167" s="17">
        <v>33484</v>
      </c>
      <c r="F167" s="18" t="str">
        <f t="shared" si="2"/>
        <v>PEPE1991_Septiembre</v>
      </c>
      <c r="G167" s="2" t="s">
        <v>1341</v>
      </c>
      <c r="H167" s="3">
        <v>6.6333333333333329</v>
      </c>
      <c r="I167" s="3">
        <v>-77.416666666666671</v>
      </c>
      <c r="J167" s="12">
        <v>27.09</v>
      </c>
      <c r="K167" s="12">
        <v>28</v>
      </c>
      <c r="L167" s="4">
        <v>161.58000000000001</v>
      </c>
      <c r="M167" s="5">
        <v>0</v>
      </c>
      <c r="N167" s="5">
        <v>54</v>
      </c>
      <c r="O167" s="1">
        <v>0</v>
      </c>
      <c r="P167" s="5">
        <v>0</v>
      </c>
    </row>
    <row r="168" spans="1:16">
      <c r="A168" s="1" t="s">
        <v>176</v>
      </c>
      <c r="B168" s="1" t="s">
        <v>167</v>
      </c>
      <c r="C168" s="1">
        <v>1991</v>
      </c>
      <c r="D168" s="1" t="s">
        <v>1710</v>
      </c>
      <c r="E168" s="17">
        <v>33484</v>
      </c>
      <c r="F168" s="18" t="str">
        <f t="shared" si="2"/>
        <v>PEPE1991_Septiembre</v>
      </c>
      <c r="G168" s="2" t="s">
        <v>1342</v>
      </c>
      <c r="H168" s="3">
        <v>6.6333333333333337</v>
      </c>
      <c r="I168" s="3">
        <v>-77.50277777777778</v>
      </c>
      <c r="J168" s="12">
        <v>28.91</v>
      </c>
      <c r="K168" s="12">
        <v>28.7</v>
      </c>
      <c r="L168" s="4">
        <v>216.56506695216783</v>
      </c>
      <c r="M168" s="5">
        <v>41</v>
      </c>
      <c r="N168" s="5">
        <v>434</v>
      </c>
      <c r="O168" s="5">
        <v>0</v>
      </c>
      <c r="P168" s="5">
        <v>10.330153693618406</v>
      </c>
    </row>
    <row r="169" spans="1:16">
      <c r="A169" s="1" t="s">
        <v>177</v>
      </c>
      <c r="B169" s="1" t="s">
        <v>167</v>
      </c>
      <c r="C169" s="1">
        <v>1991</v>
      </c>
      <c r="D169" s="1" t="s">
        <v>1710</v>
      </c>
      <c r="E169" s="17">
        <v>33483</v>
      </c>
      <c r="F169" s="18" t="str">
        <f t="shared" si="2"/>
        <v>PEPE1991_Septiembre</v>
      </c>
      <c r="G169" s="2" t="s">
        <v>1344</v>
      </c>
      <c r="H169" s="3">
        <v>6.6361111111111111</v>
      </c>
      <c r="I169" s="3">
        <v>-77.75</v>
      </c>
      <c r="J169" s="12">
        <v>29.3</v>
      </c>
      <c r="K169" s="12">
        <v>28.7</v>
      </c>
      <c r="L169" s="4">
        <v>142.40817578315682</v>
      </c>
      <c r="M169" s="5">
        <v>18</v>
      </c>
      <c r="N169" s="5">
        <v>257</v>
      </c>
      <c r="O169" s="5">
        <v>0</v>
      </c>
      <c r="P169" s="5">
        <v>5.978864852080056</v>
      </c>
    </row>
    <row r="170" spans="1:16">
      <c r="A170" s="1" t="s">
        <v>178</v>
      </c>
      <c r="B170" s="1" t="s">
        <v>167</v>
      </c>
      <c r="C170" s="1">
        <v>1991</v>
      </c>
      <c r="D170" s="1" t="s">
        <v>1710</v>
      </c>
      <c r="E170" s="17">
        <v>33484</v>
      </c>
      <c r="F170" s="18" t="str">
        <f t="shared" si="2"/>
        <v>PEPE1991_Septiembre</v>
      </c>
      <c r="G170" s="2" t="s">
        <v>1345</v>
      </c>
      <c r="H170" s="3">
        <v>6.6444444444444439</v>
      </c>
      <c r="I170" s="3">
        <v>-78.088888888888889</v>
      </c>
      <c r="J170" s="12">
        <v>29.84</v>
      </c>
      <c r="K170" s="12">
        <v>28.7</v>
      </c>
      <c r="L170" s="4">
        <v>84.609389663289761</v>
      </c>
      <c r="M170" s="5">
        <v>37</v>
      </c>
      <c r="N170" s="5">
        <v>190</v>
      </c>
      <c r="O170" s="5">
        <v>0</v>
      </c>
      <c r="P170" s="5">
        <v>0</v>
      </c>
    </row>
    <row r="171" spans="1:16">
      <c r="A171" s="1" t="s">
        <v>179</v>
      </c>
      <c r="B171" s="1" t="s">
        <v>167</v>
      </c>
      <c r="C171" s="1">
        <v>1991</v>
      </c>
      <c r="D171" s="1" t="s">
        <v>1710</v>
      </c>
      <c r="E171" s="17">
        <v>33484</v>
      </c>
      <c r="F171" s="18" t="str">
        <f t="shared" si="2"/>
        <v>PEPE1991_Septiembre</v>
      </c>
      <c r="G171" s="2" t="s">
        <v>1493</v>
      </c>
      <c r="H171" s="3">
        <v>6.5</v>
      </c>
      <c r="I171" s="3">
        <v>-77.36944444444444</v>
      </c>
      <c r="J171" s="12">
        <v>27.86</v>
      </c>
      <c r="K171" s="12">
        <v>28.4</v>
      </c>
      <c r="L171" s="4">
        <v>284.24980909484356</v>
      </c>
      <c r="M171" s="5">
        <v>9</v>
      </c>
      <c r="N171" s="5">
        <v>181</v>
      </c>
      <c r="O171" s="5">
        <v>0</v>
      </c>
      <c r="P171" s="5">
        <v>23.166359441229751</v>
      </c>
    </row>
    <row r="172" spans="1:16">
      <c r="A172" s="1" t="s">
        <v>180</v>
      </c>
      <c r="B172" s="1" t="s">
        <v>167</v>
      </c>
      <c r="C172" s="1">
        <v>1991</v>
      </c>
      <c r="D172" s="1" t="s">
        <v>1710</v>
      </c>
      <c r="E172" s="17">
        <v>33484</v>
      </c>
      <c r="F172" s="18" t="str">
        <f t="shared" si="2"/>
        <v>PEPE1991_Septiembre</v>
      </c>
      <c r="G172" s="2" t="s">
        <v>1494</v>
      </c>
      <c r="H172" s="3">
        <v>6.5005555555555556</v>
      </c>
      <c r="I172" s="3">
        <v>-77.469444444444449</v>
      </c>
      <c r="J172" s="12">
        <v>28.75</v>
      </c>
      <c r="K172" s="12">
        <v>28.2</v>
      </c>
      <c r="L172" s="4">
        <v>79.255535006444632</v>
      </c>
      <c r="M172" s="5">
        <v>31</v>
      </c>
      <c r="N172" s="5">
        <v>61</v>
      </c>
      <c r="O172" s="5">
        <v>0</v>
      </c>
      <c r="P172" s="5">
        <v>0</v>
      </c>
    </row>
    <row r="173" spans="1:16">
      <c r="A173" s="1" t="s">
        <v>181</v>
      </c>
      <c r="B173" s="1" t="s">
        <v>167</v>
      </c>
      <c r="C173" s="1">
        <v>1991</v>
      </c>
      <c r="D173" s="1" t="s">
        <v>1710</v>
      </c>
      <c r="E173" s="17">
        <v>33484</v>
      </c>
      <c r="F173" s="18" t="str">
        <f t="shared" si="2"/>
        <v>PEPE1991_Septiembre</v>
      </c>
      <c r="G173" s="2" t="s">
        <v>1495</v>
      </c>
      <c r="H173" s="3">
        <v>6.5083333333333337</v>
      </c>
      <c r="I173" s="3">
        <v>-77.541666666666671</v>
      </c>
      <c r="J173" s="12">
        <v>28.86</v>
      </c>
      <c r="K173" s="12">
        <v>28.2</v>
      </c>
      <c r="L173" s="4">
        <v>92.934932262887841</v>
      </c>
      <c r="M173" s="5">
        <v>648</v>
      </c>
      <c r="N173" s="5">
        <v>77</v>
      </c>
      <c r="O173" s="5">
        <v>0</v>
      </c>
      <c r="P173" s="5">
        <v>0</v>
      </c>
    </row>
    <row r="174" spans="1:16">
      <c r="A174" s="1" t="s">
        <v>182</v>
      </c>
      <c r="B174" s="1" t="s">
        <v>167</v>
      </c>
      <c r="C174" s="1">
        <v>1991</v>
      </c>
      <c r="D174" s="1" t="s">
        <v>1710</v>
      </c>
      <c r="E174" s="17">
        <v>33484</v>
      </c>
      <c r="F174" s="18" t="str">
        <f t="shared" si="2"/>
        <v>PEPE1991_Septiembre</v>
      </c>
      <c r="G174" s="2" t="s">
        <v>1496</v>
      </c>
      <c r="H174" s="3">
        <v>6.5055555555555555</v>
      </c>
      <c r="I174" s="3">
        <v>-77.719444444444449</v>
      </c>
      <c r="J174" s="12">
        <v>28.82</v>
      </c>
      <c r="K174" s="12">
        <v>28.3</v>
      </c>
      <c r="L174" s="4">
        <v>83.845923152126161</v>
      </c>
      <c r="M174" s="5">
        <v>117</v>
      </c>
      <c r="N174" s="5">
        <v>577</v>
      </c>
      <c r="O174" s="5">
        <v>0</v>
      </c>
      <c r="P174" s="5">
        <v>0</v>
      </c>
    </row>
    <row r="175" spans="1:16">
      <c r="A175" s="1" t="s">
        <v>183</v>
      </c>
      <c r="B175" s="1" t="s">
        <v>167</v>
      </c>
      <c r="C175" s="1">
        <v>1991</v>
      </c>
      <c r="D175" s="1" t="s">
        <v>1710</v>
      </c>
      <c r="E175" s="17">
        <v>33484</v>
      </c>
      <c r="F175" s="18" t="str">
        <f t="shared" si="2"/>
        <v>PEPE1991_Septiembre</v>
      </c>
      <c r="G175" s="2" t="s">
        <v>1497</v>
      </c>
      <c r="H175" s="3">
        <v>6.5055555555555555</v>
      </c>
      <c r="I175" s="3">
        <v>-78.033333333333331</v>
      </c>
      <c r="J175" s="12">
        <v>29.91</v>
      </c>
      <c r="K175" s="12">
        <v>28.4</v>
      </c>
      <c r="L175" s="4">
        <v>83.329963014400519</v>
      </c>
      <c r="M175" s="5">
        <v>87</v>
      </c>
      <c r="N175" s="5">
        <v>570</v>
      </c>
      <c r="O175" s="5">
        <v>0</v>
      </c>
      <c r="P175" s="5">
        <v>0</v>
      </c>
    </row>
    <row r="176" spans="1:16">
      <c r="A176" s="1" t="s">
        <v>184</v>
      </c>
      <c r="B176" s="1" t="s">
        <v>167</v>
      </c>
      <c r="C176" s="1">
        <v>1991</v>
      </c>
      <c r="D176" s="1" t="s">
        <v>1710</v>
      </c>
      <c r="E176" s="17">
        <v>33485</v>
      </c>
      <c r="F176" s="18" t="str">
        <f t="shared" si="2"/>
        <v>PEPE1991_Septiembre</v>
      </c>
      <c r="G176" s="2" t="s">
        <v>1498</v>
      </c>
      <c r="H176" s="3">
        <v>6.3416666666666668</v>
      </c>
      <c r="I176" s="3">
        <v>-77.475000000000009</v>
      </c>
      <c r="J176" s="12">
        <v>28.6</v>
      </c>
      <c r="K176" s="12">
        <v>28.5</v>
      </c>
      <c r="L176" s="4">
        <v>130.77383064014018</v>
      </c>
      <c r="M176" s="5">
        <v>672</v>
      </c>
      <c r="N176" s="5">
        <v>258</v>
      </c>
      <c r="O176" s="5">
        <v>0</v>
      </c>
      <c r="P176" s="5">
        <v>9.1999389855338602</v>
      </c>
    </row>
    <row r="177" spans="1:16">
      <c r="A177" s="1" t="s">
        <v>185</v>
      </c>
      <c r="B177" s="1" t="s">
        <v>167</v>
      </c>
      <c r="C177" s="1">
        <v>1991</v>
      </c>
      <c r="D177" s="1" t="s">
        <v>1710</v>
      </c>
      <c r="E177" s="17">
        <v>33485</v>
      </c>
      <c r="F177" s="18" t="str">
        <f t="shared" si="2"/>
        <v>PEPE1991_Septiembre</v>
      </c>
      <c r="G177" s="2" t="s">
        <v>1348</v>
      </c>
      <c r="H177" s="3">
        <v>6.333333333333333</v>
      </c>
      <c r="I177" s="3">
        <v>-77.572222222222223</v>
      </c>
      <c r="J177" s="12">
        <v>28.4</v>
      </c>
      <c r="K177" s="12">
        <v>28.3</v>
      </c>
      <c r="L177" s="4">
        <v>132.91162155815826</v>
      </c>
      <c r="M177" s="5">
        <v>167</v>
      </c>
      <c r="N177" s="5">
        <v>273</v>
      </c>
      <c r="O177" s="5">
        <v>0</v>
      </c>
      <c r="P177" s="5">
        <v>5.5659589633655013</v>
      </c>
    </row>
    <row r="178" spans="1:16">
      <c r="A178" s="1" t="s">
        <v>186</v>
      </c>
      <c r="B178" s="1" t="s">
        <v>167</v>
      </c>
      <c r="C178" s="1">
        <v>1991</v>
      </c>
      <c r="D178" s="1" t="s">
        <v>1710</v>
      </c>
      <c r="E178" s="17">
        <v>33485</v>
      </c>
      <c r="F178" s="18" t="str">
        <f t="shared" si="2"/>
        <v>PEPE1991_Septiembre</v>
      </c>
      <c r="G178" s="2" t="s">
        <v>1499</v>
      </c>
      <c r="H178" s="3">
        <v>6.3361111111111112</v>
      </c>
      <c r="I178" s="3">
        <v>-77.711111111111109</v>
      </c>
      <c r="J178" s="12">
        <v>28.48</v>
      </c>
      <c r="K178" s="12">
        <v>27.8</v>
      </c>
      <c r="L178" s="4">
        <v>87.858403933835135</v>
      </c>
      <c r="M178" s="5">
        <v>82</v>
      </c>
      <c r="N178" s="5">
        <v>413</v>
      </c>
      <c r="O178" s="5">
        <v>0</v>
      </c>
      <c r="P178" s="5">
        <v>0</v>
      </c>
    </row>
    <row r="179" spans="1:16">
      <c r="A179" s="1" t="s">
        <v>187</v>
      </c>
      <c r="B179" s="1" t="s">
        <v>167</v>
      </c>
      <c r="C179" s="1">
        <v>1991</v>
      </c>
      <c r="D179" s="1" t="s">
        <v>1710</v>
      </c>
      <c r="E179" s="17">
        <v>33485</v>
      </c>
      <c r="F179" s="18" t="str">
        <f t="shared" si="2"/>
        <v>PEPE1991_Septiembre</v>
      </c>
      <c r="G179" s="2" t="s">
        <v>1350</v>
      </c>
      <c r="H179" s="3">
        <v>6.3555555555555552</v>
      </c>
      <c r="I179" s="3">
        <v>-78.066666666666663</v>
      </c>
      <c r="J179" s="12">
        <v>29.85</v>
      </c>
      <c r="K179" s="12">
        <v>27.8</v>
      </c>
      <c r="L179" s="4">
        <v>70.25432288151346</v>
      </c>
      <c r="M179" s="5">
        <v>156</v>
      </c>
      <c r="N179" s="5">
        <v>124</v>
      </c>
      <c r="O179" s="5">
        <v>0</v>
      </c>
      <c r="P179" s="5">
        <v>0</v>
      </c>
    </row>
    <row r="180" spans="1:16">
      <c r="A180" s="1" t="s">
        <v>188</v>
      </c>
      <c r="B180" s="1" t="s">
        <v>167</v>
      </c>
      <c r="C180" s="1">
        <v>1991</v>
      </c>
      <c r="D180" s="1" t="s">
        <v>1710</v>
      </c>
      <c r="E180" s="17">
        <v>33485</v>
      </c>
      <c r="F180" s="18" t="str">
        <f t="shared" si="2"/>
        <v>PEPE1991_Septiembre</v>
      </c>
      <c r="G180" s="2" t="s">
        <v>1500</v>
      </c>
      <c r="H180" s="3">
        <v>6.1694444444444452</v>
      </c>
      <c r="I180" s="3">
        <v>-77.50277777777778</v>
      </c>
      <c r="J180" s="12">
        <v>28.1</v>
      </c>
      <c r="K180" s="12">
        <v>29</v>
      </c>
      <c r="L180" s="4">
        <v>123.51242359569029</v>
      </c>
      <c r="M180" s="5">
        <v>11</v>
      </c>
      <c r="N180" s="5">
        <v>99</v>
      </c>
      <c r="O180" s="5">
        <v>0</v>
      </c>
      <c r="P180" s="5">
        <v>0</v>
      </c>
    </row>
    <row r="181" spans="1:16">
      <c r="A181" s="1" t="s">
        <v>189</v>
      </c>
      <c r="B181" s="1" t="s">
        <v>167</v>
      </c>
      <c r="C181" s="1">
        <v>1991</v>
      </c>
      <c r="D181" s="1" t="s">
        <v>1710</v>
      </c>
      <c r="E181" s="17">
        <v>33485</v>
      </c>
      <c r="F181" s="18" t="str">
        <f t="shared" si="2"/>
        <v>PEPE1991_Septiembre</v>
      </c>
      <c r="G181" s="2" t="s">
        <v>1501</v>
      </c>
      <c r="H181" s="3">
        <v>6.1722222222222225</v>
      </c>
      <c r="I181" s="3">
        <v>-77.569444444444443</v>
      </c>
      <c r="J181" s="12">
        <v>28.47</v>
      </c>
      <c r="K181" s="12">
        <v>28.9</v>
      </c>
      <c r="L181" s="4">
        <v>45.532365733349138</v>
      </c>
      <c r="M181" s="5">
        <v>8</v>
      </c>
      <c r="N181" s="5">
        <v>149</v>
      </c>
      <c r="O181" s="5">
        <v>0</v>
      </c>
      <c r="P181" s="5">
        <v>2.5299438123839084</v>
      </c>
    </row>
    <row r="182" spans="1:16">
      <c r="A182" s="1" t="s">
        <v>190</v>
      </c>
      <c r="B182" s="1" t="s">
        <v>167</v>
      </c>
      <c r="C182" s="1">
        <v>1991</v>
      </c>
      <c r="D182" s="1" t="s">
        <v>1710</v>
      </c>
      <c r="E182" s="17">
        <v>33485</v>
      </c>
      <c r="F182" s="18" t="str">
        <f t="shared" si="2"/>
        <v>PEPE1991_Septiembre</v>
      </c>
      <c r="G182" s="2" t="s">
        <v>1502</v>
      </c>
      <c r="H182" s="3">
        <v>6.1750000000000007</v>
      </c>
      <c r="I182" s="3">
        <v>-77.675000000000011</v>
      </c>
      <c r="J182" s="12">
        <v>28.35</v>
      </c>
      <c r="K182" s="12">
        <v>28.8</v>
      </c>
      <c r="L182" s="4">
        <v>95.161476952436018</v>
      </c>
      <c r="M182" s="5">
        <v>19</v>
      </c>
      <c r="N182" s="5">
        <v>176</v>
      </c>
      <c r="O182" s="5">
        <v>0</v>
      </c>
      <c r="P182" s="5">
        <v>0</v>
      </c>
    </row>
    <row r="183" spans="1:16">
      <c r="A183" s="1" t="s">
        <v>191</v>
      </c>
      <c r="B183" s="1" t="s">
        <v>167</v>
      </c>
      <c r="C183" s="1">
        <v>1991</v>
      </c>
      <c r="D183" s="1" t="s">
        <v>1710</v>
      </c>
      <c r="E183" s="17">
        <v>33485</v>
      </c>
      <c r="F183" s="18" t="str">
        <f t="shared" si="2"/>
        <v>PEPE1991_Septiembre</v>
      </c>
      <c r="G183" s="2" t="s">
        <v>1503</v>
      </c>
      <c r="H183" s="3">
        <v>6.1694444444444452</v>
      </c>
      <c r="I183" s="3">
        <v>-78.158333333333346</v>
      </c>
      <c r="J183" s="12">
        <v>30.56</v>
      </c>
      <c r="K183" s="12">
        <v>28.1</v>
      </c>
      <c r="L183" s="4">
        <v>51.565930375980919</v>
      </c>
      <c r="M183" s="5">
        <v>228</v>
      </c>
      <c r="N183" s="5">
        <v>176</v>
      </c>
      <c r="O183" s="5">
        <v>29</v>
      </c>
      <c r="P183" s="5">
        <v>0</v>
      </c>
    </row>
    <row r="184" spans="1:16">
      <c r="A184" s="1" t="s">
        <v>192</v>
      </c>
      <c r="B184" s="1" t="s">
        <v>167</v>
      </c>
      <c r="C184" s="1">
        <v>1991</v>
      </c>
      <c r="D184" s="1" t="s">
        <v>1710</v>
      </c>
      <c r="E184" s="17">
        <v>33485</v>
      </c>
      <c r="F184" s="18" t="str">
        <f t="shared" si="2"/>
        <v>PEPE1991_Septiembre</v>
      </c>
      <c r="G184" s="2" t="s">
        <v>1351</v>
      </c>
      <c r="H184" s="3">
        <v>6</v>
      </c>
      <c r="I184" s="3">
        <v>-77.391666666666666</v>
      </c>
      <c r="J184" s="12">
        <v>27.9</v>
      </c>
      <c r="K184" s="12">
        <v>28.7</v>
      </c>
      <c r="L184" s="4">
        <v>146.36303289360131</v>
      </c>
      <c r="M184" s="5">
        <v>17</v>
      </c>
      <c r="N184" s="5">
        <v>755</v>
      </c>
      <c r="O184" s="5">
        <v>0</v>
      </c>
      <c r="P184" s="5">
        <v>67.137849057778723</v>
      </c>
    </row>
    <row r="185" spans="1:16">
      <c r="A185" s="1" t="s">
        <v>193</v>
      </c>
      <c r="B185" s="1" t="s">
        <v>167</v>
      </c>
      <c r="C185" s="1">
        <v>1991</v>
      </c>
      <c r="D185" s="1" t="s">
        <v>1710</v>
      </c>
      <c r="E185" s="17">
        <v>33485</v>
      </c>
      <c r="F185" s="18" t="str">
        <f t="shared" si="2"/>
        <v>PEPE1991_Septiembre</v>
      </c>
      <c r="G185" s="2" t="s">
        <v>1352</v>
      </c>
      <c r="H185" s="3">
        <v>6.0027777777777782</v>
      </c>
      <c r="I185" s="3">
        <v>-77.477777777777774</v>
      </c>
      <c r="J185" s="12">
        <v>27.73</v>
      </c>
      <c r="K185" s="12">
        <v>28.4</v>
      </c>
      <c r="L185" s="4">
        <v>109.72602064007263</v>
      </c>
      <c r="M185" s="5">
        <v>0</v>
      </c>
      <c r="N185" s="5">
        <v>283</v>
      </c>
      <c r="O185" s="1">
        <v>0</v>
      </c>
      <c r="P185" s="5">
        <v>37.745751100184989</v>
      </c>
    </row>
    <row r="186" spans="1:16">
      <c r="A186" s="1" t="s">
        <v>194</v>
      </c>
      <c r="B186" s="1" t="s">
        <v>167</v>
      </c>
      <c r="C186" s="1">
        <v>1991</v>
      </c>
      <c r="D186" s="1" t="s">
        <v>1710</v>
      </c>
      <c r="E186" s="17">
        <v>33485</v>
      </c>
      <c r="F186" s="18" t="str">
        <f t="shared" si="2"/>
        <v>PEPE1991_Septiembre</v>
      </c>
      <c r="G186" s="2" t="s">
        <v>1353</v>
      </c>
      <c r="H186" s="3">
        <v>6.0027777777777782</v>
      </c>
      <c r="I186" s="3">
        <v>-77.552777777777777</v>
      </c>
      <c r="J186" s="12">
        <v>27.95</v>
      </c>
      <c r="K186" s="12">
        <v>28.6</v>
      </c>
      <c r="L186" s="4">
        <v>123.51242359569028</v>
      </c>
      <c r="M186" s="5">
        <v>13</v>
      </c>
      <c r="N186" s="5">
        <v>225</v>
      </c>
      <c r="O186" s="5">
        <v>0</v>
      </c>
      <c r="P186" s="5">
        <v>18.777593759252792</v>
      </c>
    </row>
    <row r="187" spans="1:16">
      <c r="A187" s="1" t="s">
        <v>195</v>
      </c>
      <c r="B187" s="1" t="s">
        <v>167</v>
      </c>
      <c r="C187" s="1">
        <v>1991</v>
      </c>
      <c r="D187" s="1" t="s">
        <v>1710</v>
      </c>
      <c r="E187" s="17">
        <v>33485</v>
      </c>
      <c r="F187" s="18" t="str">
        <f t="shared" si="2"/>
        <v>PEPE1991_Septiembre</v>
      </c>
      <c r="G187" s="2" t="s">
        <v>1354</v>
      </c>
      <c r="H187" s="3">
        <v>6</v>
      </c>
      <c r="I187" s="3">
        <v>-77.716666666666669</v>
      </c>
      <c r="J187" s="12">
        <v>27.96</v>
      </c>
      <c r="K187" s="12">
        <v>28.3</v>
      </c>
      <c r="L187" s="4">
        <v>66.169845643827699</v>
      </c>
      <c r="M187" s="5">
        <v>541</v>
      </c>
      <c r="N187" s="5">
        <v>115</v>
      </c>
      <c r="O187" s="5">
        <v>0</v>
      </c>
      <c r="P187" s="5">
        <v>0</v>
      </c>
    </row>
    <row r="188" spans="1:16">
      <c r="A188" s="1" t="s">
        <v>196</v>
      </c>
      <c r="B188" s="1" t="s">
        <v>167</v>
      </c>
      <c r="C188" s="1">
        <v>1991</v>
      </c>
      <c r="D188" s="1" t="s">
        <v>1710</v>
      </c>
      <c r="E188" s="17">
        <v>33486</v>
      </c>
      <c r="F188" s="18" t="str">
        <f t="shared" si="2"/>
        <v>PEPE1991_Septiembre</v>
      </c>
      <c r="G188" s="2" t="s">
        <v>1355</v>
      </c>
      <c r="H188" s="3">
        <v>6.0222222222222221</v>
      </c>
      <c r="I188" s="3">
        <v>-78.05</v>
      </c>
      <c r="J188" s="12">
        <v>29.23</v>
      </c>
      <c r="K188" s="12">
        <v>27.9</v>
      </c>
      <c r="L188" s="4">
        <v>91.695269753508882</v>
      </c>
      <c r="M188" s="5">
        <v>35</v>
      </c>
      <c r="N188" s="5">
        <v>192</v>
      </c>
      <c r="O188" s="5">
        <v>0</v>
      </c>
      <c r="P188" s="5">
        <v>0</v>
      </c>
    </row>
    <row r="189" spans="1:16">
      <c r="A189" s="1" t="s">
        <v>197</v>
      </c>
      <c r="B189" s="1" t="s">
        <v>167</v>
      </c>
      <c r="C189" s="1">
        <v>1991</v>
      </c>
      <c r="D189" s="1" t="s">
        <v>1710</v>
      </c>
      <c r="E189" s="17">
        <v>33486</v>
      </c>
      <c r="F189" s="18" t="str">
        <f t="shared" si="2"/>
        <v>PEPE1991_Septiembre</v>
      </c>
      <c r="G189" s="2" t="s">
        <v>1356</v>
      </c>
      <c r="H189" s="3">
        <v>5.8055555555555554</v>
      </c>
      <c r="I189" s="3">
        <v>-77.297222222222217</v>
      </c>
      <c r="J189" s="12">
        <v>27.62</v>
      </c>
      <c r="K189" s="12">
        <v>29.2</v>
      </c>
      <c r="L189" s="4">
        <v>52.503666723512211</v>
      </c>
      <c r="M189" s="5">
        <v>64</v>
      </c>
      <c r="N189" s="5">
        <v>3</v>
      </c>
      <c r="O189" s="5">
        <v>3</v>
      </c>
      <c r="P189" s="5">
        <v>1.5313569461024397</v>
      </c>
    </row>
    <row r="190" spans="1:16">
      <c r="A190" s="1" t="s">
        <v>198</v>
      </c>
      <c r="B190" s="1" t="s">
        <v>167</v>
      </c>
      <c r="C190" s="1">
        <v>1991</v>
      </c>
      <c r="D190" s="1" t="s">
        <v>1710</v>
      </c>
      <c r="E190" s="17">
        <v>33486</v>
      </c>
      <c r="F190" s="18" t="str">
        <f t="shared" si="2"/>
        <v>PEPE1991_Septiembre</v>
      </c>
      <c r="G190" s="2" t="s">
        <v>1357</v>
      </c>
      <c r="H190" s="3">
        <v>5.833333333333333</v>
      </c>
      <c r="I190" s="3">
        <v>-77.38333333333334</v>
      </c>
      <c r="J190" s="12">
        <v>28.12</v>
      </c>
      <c r="K190" s="12">
        <v>28.5</v>
      </c>
      <c r="L190" s="4">
        <v>79.259697805699119</v>
      </c>
      <c r="M190" s="5">
        <v>27</v>
      </c>
      <c r="N190" s="5">
        <v>167</v>
      </c>
      <c r="O190" s="5">
        <v>0</v>
      </c>
      <c r="P190" s="5">
        <v>0</v>
      </c>
    </row>
    <row r="191" spans="1:16">
      <c r="A191" s="1" t="s">
        <v>199</v>
      </c>
      <c r="B191" s="1" t="s">
        <v>167</v>
      </c>
      <c r="C191" s="1">
        <v>1991</v>
      </c>
      <c r="D191" s="1" t="s">
        <v>1710</v>
      </c>
      <c r="E191" s="17">
        <v>33486</v>
      </c>
      <c r="F191" s="18" t="str">
        <f t="shared" si="2"/>
        <v>PEPE1991_Septiembre</v>
      </c>
      <c r="G191" s="2" t="s">
        <v>1358</v>
      </c>
      <c r="H191" s="3">
        <v>5.8388888888888886</v>
      </c>
      <c r="I191" s="3">
        <v>-77.475000000000009</v>
      </c>
      <c r="J191" s="12">
        <v>28.36</v>
      </c>
      <c r="K191" s="12">
        <v>28.3</v>
      </c>
      <c r="L191" s="4">
        <v>84.279829330339282</v>
      </c>
      <c r="M191" s="5">
        <v>63</v>
      </c>
      <c r="N191" s="5">
        <v>94</v>
      </c>
      <c r="O191" s="5">
        <v>10</v>
      </c>
      <c r="P191" s="5">
        <v>0</v>
      </c>
    </row>
    <row r="192" spans="1:16">
      <c r="A192" s="1" t="s">
        <v>200</v>
      </c>
      <c r="B192" s="1" t="s">
        <v>167</v>
      </c>
      <c r="C192" s="1">
        <v>1991</v>
      </c>
      <c r="D192" s="1" t="s">
        <v>1710</v>
      </c>
      <c r="E192" s="17">
        <v>33486</v>
      </c>
      <c r="F192" s="18" t="str">
        <f t="shared" si="2"/>
        <v>PEPE1991_Septiembre</v>
      </c>
      <c r="G192" s="2" t="s">
        <v>1359</v>
      </c>
      <c r="H192" s="3">
        <v>5.833333333333333</v>
      </c>
      <c r="I192" s="3">
        <v>-77.638888888888886</v>
      </c>
      <c r="J192" s="12">
        <v>28.03</v>
      </c>
      <c r="K192" s="12">
        <v>28.2</v>
      </c>
      <c r="L192" s="4">
        <v>68.210301022778111</v>
      </c>
      <c r="M192" s="5">
        <v>0</v>
      </c>
      <c r="N192" s="5">
        <v>389</v>
      </c>
      <c r="O192" s="1">
        <v>0</v>
      </c>
      <c r="P192" s="5">
        <v>3.0389171938278583</v>
      </c>
    </row>
    <row r="193" spans="1:16">
      <c r="A193" s="1" t="s">
        <v>201</v>
      </c>
      <c r="B193" s="1" t="s">
        <v>167</v>
      </c>
      <c r="C193" s="1">
        <v>1991</v>
      </c>
      <c r="D193" s="1" t="s">
        <v>1710</v>
      </c>
      <c r="E193" s="17">
        <v>33486</v>
      </c>
      <c r="F193" s="18" t="str">
        <f t="shared" si="2"/>
        <v>PEPE1991_Septiembre</v>
      </c>
      <c r="G193" s="2" t="s">
        <v>1504</v>
      </c>
      <c r="H193" s="3">
        <v>5.6750000000000007</v>
      </c>
      <c r="I193" s="3">
        <v>-77.341666666666669</v>
      </c>
      <c r="J193" s="12">
        <v>28.17</v>
      </c>
      <c r="K193" s="12">
        <v>29</v>
      </c>
      <c r="L193" s="4">
        <v>62.521767754503884</v>
      </c>
      <c r="M193" s="5">
        <v>15</v>
      </c>
      <c r="N193" s="5">
        <v>7</v>
      </c>
      <c r="O193" s="5">
        <v>4.6500564767412262</v>
      </c>
      <c r="P193" s="5">
        <v>1.094130935703818</v>
      </c>
    </row>
    <row r="194" spans="1:16">
      <c r="A194" s="1" t="s">
        <v>202</v>
      </c>
      <c r="B194" s="1" t="s">
        <v>167</v>
      </c>
      <c r="C194" s="1">
        <v>1991</v>
      </c>
      <c r="D194" s="1" t="s">
        <v>1710</v>
      </c>
      <c r="E194" s="17">
        <v>33486</v>
      </c>
      <c r="F194" s="18" t="str">
        <f t="shared" si="2"/>
        <v>PEPE1991_Septiembre</v>
      </c>
      <c r="G194" s="2" t="s">
        <v>1505</v>
      </c>
      <c r="H194" s="3">
        <v>5.6722222222222225</v>
      </c>
      <c r="I194" s="3">
        <v>-77.438888888888897</v>
      </c>
      <c r="J194" s="12">
        <v>28.29</v>
      </c>
      <c r="K194" s="12">
        <v>28.6</v>
      </c>
      <c r="L194" s="4">
        <v>62.142773049791849</v>
      </c>
      <c r="M194" s="5">
        <v>41</v>
      </c>
      <c r="N194" s="5">
        <v>124</v>
      </c>
      <c r="O194" s="5">
        <v>0</v>
      </c>
      <c r="P194" s="5">
        <v>0</v>
      </c>
    </row>
    <row r="195" spans="1:16">
      <c r="A195" s="1" t="s">
        <v>203</v>
      </c>
      <c r="B195" s="1" t="s">
        <v>167</v>
      </c>
      <c r="C195" s="1">
        <v>1991</v>
      </c>
      <c r="D195" s="1" t="s">
        <v>1710</v>
      </c>
      <c r="E195" s="17">
        <v>33486</v>
      </c>
      <c r="F195" s="18" t="str">
        <f t="shared" ref="F195:F258" si="3">"PEPE"&amp;C195&amp;"_"&amp;D195</f>
        <v>PEPE1991_Septiembre</v>
      </c>
      <c r="G195" s="2" t="s">
        <v>1506</v>
      </c>
      <c r="H195" s="3">
        <v>5.6861111111111118</v>
      </c>
      <c r="I195" s="3">
        <v>-77.525000000000006</v>
      </c>
      <c r="J195" s="12">
        <v>28.19</v>
      </c>
      <c r="K195" s="12">
        <v>28.8</v>
      </c>
      <c r="L195" s="4">
        <v>81.155994714607417</v>
      </c>
      <c r="M195" s="5">
        <v>20</v>
      </c>
      <c r="N195" s="5">
        <v>251</v>
      </c>
      <c r="O195" s="5">
        <v>0</v>
      </c>
      <c r="P195" s="5">
        <v>0</v>
      </c>
    </row>
    <row r="196" spans="1:16">
      <c r="A196" s="1" t="s">
        <v>204</v>
      </c>
      <c r="B196" s="1" t="s">
        <v>167</v>
      </c>
      <c r="C196" s="1">
        <v>1991</v>
      </c>
      <c r="D196" s="1" t="s">
        <v>1710</v>
      </c>
      <c r="E196" s="17">
        <v>33486</v>
      </c>
      <c r="F196" s="18" t="str">
        <f t="shared" si="3"/>
        <v>PEPE1991_Septiembre</v>
      </c>
      <c r="G196" s="2" t="s">
        <v>1507</v>
      </c>
      <c r="H196" s="3">
        <v>5.666666666666667</v>
      </c>
      <c r="I196" s="3">
        <v>-77.661111111111111</v>
      </c>
      <c r="J196" s="12">
        <v>28.16</v>
      </c>
      <c r="K196" s="12">
        <v>29</v>
      </c>
      <c r="L196" s="4">
        <v>105.24743817647202</v>
      </c>
      <c r="M196" s="5">
        <v>68</v>
      </c>
      <c r="N196" s="5">
        <v>184</v>
      </c>
      <c r="O196" s="5">
        <v>0</v>
      </c>
      <c r="P196" s="5">
        <v>6.806413737130196</v>
      </c>
    </row>
    <row r="197" spans="1:16">
      <c r="A197" s="1" t="s">
        <v>205</v>
      </c>
      <c r="B197" s="1" t="s">
        <v>167</v>
      </c>
      <c r="C197" s="1">
        <v>1991</v>
      </c>
      <c r="D197" s="1" t="s">
        <v>1710</v>
      </c>
      <c r="E197" s="17">
        <v>33486</v>
      </c>
      <c r="F197" s="18" t="str">
        <f t="shared" si="3"/>
        <v>PEPE1991_Septiembre</v>
      </c>
      <c r="G197" s="2" t="s">
        <v>1508</v>
      </c>
      <c r="H197" s="3">
        <v>5.6638888888888896</v>
      </c>
      <c r="I197" s="3">
        <v>-78</v>
      </c>
      <c r="J197" s="12">
        <v>27.94</v>
      </c>
      <c r="K197" s="12">
        <v>28.6</v>
      </c>
      <c r="L197" s="4">
        <v>110.78551942000819</v>
      </c>
      <c r="M197" s="5">
        <v>116</v>
      </c>
      <c r="N197" s="5">
        <v>104</v>
      </c>
      <c r="O197" s="5">
        <v>0</v>
      </c>
      <c r="P197" s="5">
        <v>6.1141736842763805</v>
      </c>
    </row>
    <row r="198" spans="1:16">
      <c r="A198" s="1" t="s">
        <v>206</v>
      </c>
      <c r="B198" s="1" t="s">
        <v>167</v>
      </c>
      <c r="C198" s="1">
        <v>1991</v>
      </c>
      <c r="D198" s="1" t="s">
        <v>1710</v>
      </c>
      <c r="E198" s="17">
        <v>33487</v>
      </c>
      <c r="F198" s="18" t="str">
        <f t="shared" si="3"/>
        <v>PEPE1991_Septiembre</v>
      </c>
      <c r="G198" s="2" t="s">
        <v>1361</v>
      </c>
      <c r="H198" s="3">
        <v>5.5055555555555555</v>
      </c>
      <c r="I198" s="3">
        <v>-77.552777777777777</v>
      </c>
      <c r="J198" s="12">
        <v>27.58</v>
      </c>
      <c r="K198" s="12">
        <v>28.4</v>
      </c>
      <c r="L198" s="4">
        <v>206.52719706058926</v>
      </c>
      <c r="M198" s="5">
        <v>223</v>
      </c>
      <c r="N198" s="5">
        <v>1790</v>
      </c>
      <c r="O198" s="5">
        <v>0</v>
      </c>
      <c r="P198" s="5">
        <v>222.88690476374873</v>
      </c>
    </row>
    <row r="199" spans="1:16">
      <c r="A199" s="1" t="s">
        <v>207</v>
      </c>
      <c r="B199" s="1" t="s">
        <v>167</v>
      </c>
      <c r="C199" s="1">
        <v>1991</v>
      </c>
      <c r="D199" s="1" t="s">
        <v>1710</v>
      </c>
      <c r="E199" s="17">
        <v>33487</v>
      </c>
      <c r="F199" s="18" t="str">
        <f t="shared" si="3"/>
        <v>PEPE1991_Septiembre</v>
      </c>
      <c r="G199" s="2" t="s">
        <v>1509</v>
      </c>
      <c r="H199" s="3">
        <v>5.5</v>
      </c>
      <c r="I199" s="3">
        <v>-77.625</v>
      </c>
      <c r="J199" s="12">
        <v>27.81</v>
      </c>
      <c r="K199" s="12">
        <v>28.8</v>
      </c>
      <c r="L199" s="4">
        <v>80.52126723485209</v>
      </c>
      <c r="M199" s="5">
        <v>93</v>
      </c>
      <c r="N199" s="5">
        <v>377</v>
      </c>
      <c r="O199" s="5">
        <v>0</v>
      </c>
      <c r="P199" s="5">
        <v>77.51356107637379</v>
      </c>
    </row>
    <row r="200" spans="1:16">
      <c r="A200" s="1" t="s">
        <v>208</v>
      </c>
      <c r="B200" s="1" t="s">
        <v>167</v>
      </c>
      <c r="C200" s="1">
        <v>1991</v>
      </c>
      <c r="D200" s="1" t="s">
        <v>1710</v>
      </c>
      <c r="E200" s="17">
        <v>33487</v>
      </c>
      <c r="F200" s="18" t="str">
        <f t="shared" si="3"/>
        <v>PEPE1991_Septiembre</v>
      </c>
      <c r="G200" s="2" t="s">
        <v>1362</v>
      </c>
      <c r="H200" s="3">
        <v>5.5</v>
      </c>
      <c r="I200" s="3">
        <v>-77.708333333333343</v>
      </c>
      <c r="J200" s="12">
        <v>27.84</v>
      </c>
      <c r="K200" s="12">
        <v>28.7</v>
      </c>
      <c r="L200" s="4">
        <v>86.956250109907671</v>
      </c>
      <c r="M200" s="5">
        <v>56</v>
      </c>
      <c r="N200" s="5">
        <v>259</v>
      </c>
      <c r="O200" s="5">
        <v>0</v>
      </c>
      <c r="P200" s="5">
        <v>62.969702964205453</v>
      </c>
    </row>
    <row r="201" spans="1:16">
      <c r="A201" s="1" t="s">
        <v>209</v>
      </c>
      <c r="B201" s="1" t="s">
        <v>167</v>
      </c>
      <c r="C201" s="1">
        <v>1991</v>
      </c>
      <c r="D201" s="1" t="s">
        <v>1710</v>
      </c>
      <c r="E201" s="17">
        <v>33486</v>
      </c>
      <c r="F201" s="18" t="str">
        <f t="shared" si="3"/>
        <v>PEPE1991_Septiembre</v>
      </c>
      <c r="G201" s="2" t="s">
        <v>1363</v>
      </c>
      <c r="H201" s="3">
        <v>5.4916666666666671</v>
      </c>
      <c r="I201" s="3">
        <v>-77.89166666666668</v>
      </c>
      <c r="J201" s="12">
        <v>28.41</v>
      </c>
      <c r="K201" s="12">
        <v>28.4</v>
      </c>
      <c r="L201" s="4">
        <v>69.381603409077613</v>
      </c>
      <c r="M201" s="5">
        <v>0</v>
      </c>
      <c r="N201" s="5">
        <v>239</v>
      </c>
      <c r="O201" s="1">
        <v>0</v>
      </c>
      <c r="P201" s="5">
        <v>0</v>
      </c>
    </row>
    <row r="202" spans="1:16">
      <c r="A202" s="1" t="s">
        <v>210</v>
      </c>
      <c r="B202" s="1" t="s">
        <v>167</v>
      </c>
      <c r="C202" s="1">
        <v>1991</v>
      </c>
      <c r="D202" s="1" t="s">
        <v>1710</v>
      </c>
      <c r="E202" s="17">
        <v>33487</v>
      </c>
      <c r="F202" s="18" t="str">
        <f t="shared" si="3"/>
        <v>PEPE1991_Septiembre</v>
      </c>
      <c r="G202" s="2" t="s">
        <v>1510</v>
      </c>
      <c r="H202" s="3">
        <v>5.2888888888888888</v>
      </c>
      <c r="I202" s="3">
        <v>-77.469444444444449</v>
      </c>
      <c r="J202" s="12">
        <v>26.31</v>
      </c>
      <c r="K202" s="12">
        <v>28.4</v>
      </c>
      <c r="L202" s="4">
        <v>96.765478786938203</v>
      </c>
      <c r="M202" s="5">
        <v>445</v>
      </c>
      <c r="N202" s="5">
        <v>84</v>
      </c>
      <c r="O202" s="5">
        <v>103</v>
      </c>
      <c r="P202" s="5">
        <v>37.644996764078527</v>
      </c>
    </row>
    <row r="203" spans="1:16">
      <c r="A203" s="1" t="s">
        <v>211</v>
      </c>
      <c r="B203" s="1" t="s">
        <v>167</v>
      </c>
      <c r="C203" s="1">
        <v>1991</v>
      </c>
      <c r="D203" s="1" t="s">
        <v>1710</v>
      </c>
      <c r="E203" s="17">
        <v>33487</v>
      </c>
      <c r="F203" s="18" t="str">
        <f t="shared" si="3"/>
        <v>PEPE1991_Septiembre</v>
      </c>
      <c r="G203" s="2" t="s">
        <v>1365</v>
      </c>
      <c r="H203" s="3">
        <v>5.291666666666667</v>
      </c>
      <c r="I203" s="3">
        <v>-77.50277777777778</v>
      </c>
      <c r="J203" s="12">
        <v>26.67</v>
      </c>
      <c r="K203" s="12">
        <v>28.1</v>
      </c>
      <c r="L203" s="4">
        <v>116.96964471922375</v>
      </c>
      <c r="M203" s="5">
        <v>27</v>
      </c>
      <c r="N203" s="5">
        <v>311</v>
      </c>
      <c r="O203" s="5">
        <v>4</v>
      </c>
      <c r="P203" s="5">
        <v>19.215919446529981</v>
      </c>
    </row>
    <row r="204" spans="1:16">
      <c r="A204" s="1" t="s">
        <v>212</v>
      </c>
      <c r="B204" s="1" t="s">
        <v>167</v>
      </c>
      <c r="C204" s="1">
        <v>1991</v>
      </c>
      <c r="D204" s="1" t="s">
        <v>1710</v>
      </c>
      <c r="E204" s="17">
        <v>33487</v>
      </c>
      <c r="F204" s="18" t="str">
        <f t="shared" si="3"/>
        <v>PEPE1991_Septiembre</v>
      </c>
      <c r="G204" s="2" t="s">
        <v>1366</v>
      </c>
      <c r="H204" s="3">
        <v>5.3388888888888886</v>
      </c>
      <c r="I204" s="3">
        <v>-77.580555555555549</v>
      </c>
      <c r="J204" s="12">
        <v>28.15</v>
      </c>
      <c r="K204" s="12">
        <v>28</v>
      </c>
      <c r="L204" s="4">
        <v>215.87110702144452</v>
      </c>
      <c r="M204" s="5">
        <v>23</v>
      </c>
      <c r="N204" s="5">
        <v>93</v>
      </c>
      <c r="O204" s="5">
        <v>0</v>
      </c>
      <c r="P204" s="5">
        <v>0</v>
      </c>
    </row>
    <row r="205" spans="1:16">
      <c r="A205" s="1" t="s">
        <v>213</v>
      </c>
      <c r="B205" s="1" t="s">
        <v>167</v>
      </c>
      <c r="C205" s="1">
        <v>1991</v>
      </c>
      <c r="D205" s="1" t="s">
        <v>1710</v>
      </c>
      <c r="E205" s="17">
        <v>33487</v>
      </c>
      <c r="F205" s="18" t="str">
        <f t="shared" si="3"/>
        <v>PEPE1991_Septiembre</v>
      </c>
      <c r="G205" s="2" t="s">
        <v>1367</v>
      </c>
      <c r="H205" s="3">
        <v>5.35</v>
      </c>
      <c r="I205" s="3">
        <v>-77.75</v>
      </c>
      <c r="J205" s="12">
        <v>29.56</v>
      </c>
      <c r="K205" s="12">
        <v>27.6</v>
      </c>
      <c r="L205" s="4">
        <v>93.746917804949163</v>
      </c>
      <c r="M205" s="5">
        <v>35</v>
      </c>
      <c r="N205" s="5">
        <v>219</v>
      </c>
      <c r="O205" s="5">
        <v>0</v>
      </c>
      <c r="P205" s="5">
        <v>4.9878047618123205</v>
      </c>
    </row>
    <row r="206" spans="1:16">
      <c r="A206" s="1" t="s">
        <v>214</v>
      </c>
      <c r="B206" s="1" t="s">
        <v>167</v>
      </c>
      <c r="C206" s="1">
        <v>1991</v>
      </c>
      <c r="D206" s="1" t="s">
        <v>1710</v>
      </c>
      <c r="E206" s="17">
        <v>33487</v>
      </c>
      <c r="F206" s="18" t="str">
        <f t="shared" si="3"/>
        <v>PEPE1991_Septiembre</v>
      </c>
      <c r="G206" s="2" t="s">
        <v>1368</v>
      </c>
      <c r="H206" s="3">
        <v>5.3416666666666668</v>
      </c>
      <c r="I206" s="3">
        <v>-78.083333333333329</v>
      </c>
      <c r="J206" s="12">
        <v>26.15</v>
      </c>
      <c r="K206" s="12">
        <v>27.9</v>
      </c>
      <c r="L206" s="4">
        <v>56.236412055136306</v>
      </c>
      <c r="M206" s="5">
        <v>137</v>
      </c>
      <c r="N206" s="5">
        <v>94</v>
      </c>
      <c r="O206" s="5">
        <v>0</v>
      </c>
      <c r="P206" s="5">
        <v>0</v>
      </c>
    </row>
    <row r="207" spans="1:16">
      <c r="A207" s="1" t="s">
        <v>215</v>
      </c>
      <c r="B207" s="1" t="s">
        <v>167</v>
      </c>
      <c r="C207" s="1">
        <v>1991</v>
      </c>
      <c r="D207" s="1" t="s">
        <v>1710</v>
      </c>
      <c r="E207" s="17">
        <v>33487</v>
      </c>
      <c r="F207" s="18" t="str">
        <f t="shared" si="3"/>
        <v>PEPE1991_Septiembre</v>
      </c>
      <c r="G207" s="2" t="s">
        <v>1511</v>
      </c>
      <c r="H207" s="3">
        <v>5.1722222222222225</v>
      </c>
      <c r="I207" s="3">
        <v>-77.441666666666677</v>
      </c>
      <c r="J207" s="12">
        <v>28.74</v>
      </c>
      <c r="K207" s="12">
        <v>28.2</v>
      </c>
      <c r="L207" s="4">
        <v>39.75303968711026</v>
      </c>
      <c r="M207" s="5">
        <v>48</v>
      </c>
      <c r="N207" s="5">
        <v>5</v>
      </c>
      <c r="O207" s="5">
        <v>3</v>
      </c>
      <c r="P207" s="5">
        <v>1.9031767750204041</v>
      </c>
    </row>
    <row r="208" spans="1:16">
      <c r="A208" s="1" t="s">
        <v>216</v>
      </c>
      <c r="B208" s="1" t="s">
        <v>167</v>
      </c>
      <c r="C208" s="1">
        <v>1991</v>
      </c>
      <c r="D208" s="1" t="s">
        <v>1710</v>
      </c>
      <c r="E208" s="17">
        <v>33487</v>
      </c>
      <c r="F208" s="18" t="str">
        <f t="shared" si="3"/>
        <v>PEPE1991_Septiembre</v>
      </c>
      <c r="G208" s="2" t="s">
        <v>1379</v>
      </c>
      <c r="H208" s="3">
        <v>5.166666666666667</v>
      </c>
      <c r="I208" s="3">
        <v>-77.480555555555554</v>
      </c>
      <c r="J208" s="12">
        <v>27.11</v>
      </c>
      <c r="K208" s="12">
        <v>28.1</v>
      </c>
      <c r="L208" s="4">
        <v>119.63731922748723</v>
      </c>
      <c r="M208" s="5">
        <v>296</v>
      </c>
      <c r="N208" s="5">
        <v>276</v>
      </c>
      <c r="O208" s="5">
        <v>0</v>
      </c>
      <c r="P208" s="5">
        <v>69.090551853873876</v>
      </c>
    </row>
    <row r="209" spans="1:16">
      <c r="A209" s="1" t="s">
        <v>217</v>
      </c>
      <c r="B209" s="1" t="s">
        <v>167</v>
      </c>
      <c r="C209" s="1">
        <v>1991</v>
      </c>
      <c r="D209" s="1" t="s">
        <v>1710</v>
      </c>
      <c r="E209" s="17">
        <v>33487</v>
      </c>
      <c r="F209" s="18" t="str">
        <f t="shared" si="3"/>
        <v>PEPE1991_Septiembre</v>
      </c>
      <c r="G209" s="2" t="s">
        <v>1380</v>
      </c>
      <c r="H209" s="3">
        <v>5.1694444444444452</v>
      </c>
      <c r="I209" s="3">
        <v>-77.572222222222223</v>
      </c>
      <c r="J209" s="12">
        <v>29.25</v>
      </c>
      <c r="K209" s="12">
        <v>27.4</v>
      </c>
      <c r="L209" s="4">
        <v>78.029855950467663</v>
      </c>
      <c r="M209" s="5">
        <v>180</v>
      </c>
      <c r="N209" s="5">
        <v>157</v>
      </c>
      <c r="O209" s="5">
        <v>0</v>
      </c>
      <c r="P209" s="5">
        <v>0</v>
      </c>
    </row>
    <row r="210" spans="1:16">
      <c r="A210" s="1" t="s">
        <v>218</v>
      </c>
      <c r="B210" s="1" t="s">
        <v>167</v>
      </c>
      <c r="C210" s="1">
        <v>1991</v>
      </c>
      <c r="D210" s="1" t="s">
        <v>1710</v>
      </c>
      <c r="E210" s="17">
        <v>33487</v>
      </c>
      <c r="F210" s="18" t="str">
        <f t="shared" si="3"/>
        <v>PEPE1991_Septiembre</v>
      </c>
      <c r="G210" s="2" t="s">
        <v>1381</v>
      </c>
      <c r="H210" s="3">
        <v>5.166666666666667</v>
      </c>
      <c r="I210" s="3">
        <v>-77.775000000000006</v>
      </c>
      <c r="J210" s="12">
        <v>31.02</v>
      </c>
      <c r="K210" s="12">
        <v>27.6</v>
      </c>
      <c r="L210" s="4">
        <v>63.911755971106039</v>
      </c>
      <c r="M210" s="5">
        <v>153</v>
      </c>
      <c r="N210" s="5">
        <v>61</v>
      </c>
      <c r="O210" s="5">
        <v>0</v>
      </c>
      <c r="P210" s="5">
        <v>0</v>
      </c>
    </row>
    <row r="211" spans="1:16">
      <c r="A211" s="1" t="s">
        <v>219</v>
      </c>
      <c r="B211" s="1" t="s">
        <v>167</v>
      </c>
      <c r="C211" s="1">
        <v>1991</v>
      </c>
      <c r="D211" s="1" t="s">
        <v>1710</v>
      </c>
      <c r="E211" s="17">
        <v>33487</v>
      </c>
      <c r="F211" s="18" t="str">
        <f t="shared" si="3"/>
        <v>PEPE1991_Septiembre</v>
      </c>
      <c r="G211" s="2" t="s">
        <v>1512</v>
      </c>
      <c r="H211" s="3">
        <v>5.1750000000000007</v>
      </c>
      <c r="I211" s="3">
        <v>-78.088888888888889</v>
      </c>
      <c r="J211" s="12">
        <v>30.15</v>
      </c>
      <c r="K211" s="12">
        <v>27.7</v>
      </c>
      <c r="L211" s="4">
        <v>69.790000000000006</v>
      </c>
      <c r="M211" s="5">
        <v>113</v>
      </c>
      <c r="N211" s="5">
        <v>60</v>
      </c>
      <c r="O211" s="5">
        <v>0</v>
      </c>
      <c r="P211" s="5">
        <v>0</v>
      </c>
    </row>
    <row r="212" spans="1:16">
      <c r="A212" s="1" t="s">
        <v>220</v>
      </c>
      <c r="B212" s="1" t="s">
        <v>167</v>
      </c>
      <c r="C212" s="1">
        <v>1991</v>
      </c>
      <c r="D212" s="1" t="s">
        <v>1710</v>
      </c>
      <c r="E212" s="17">
        <v>33487</v>
      </c>
      <c r="F212" s="18" t="str">
        <f t="shared" si="3"/>
        <v>PEPE1991_Septiembre</v>
      </c>
      <c r="G212" s="2" t="s">
        <v>1513</v>
      </c>
      <c r="H212" s="3">
        <v>5.0138888888888893</v>
      </c>
      <c r="I212" s="3">
        <v>-77.419444444444451</v>
      </c>
      <c r="J212" s="12">
        <v>25.51</v>
      </c>
      <c r="K212" s="12">
        <v>27.7</v>
      </c>
      <c r="L212" s="4">
        <v>71.43924152224595</v>
      </c>
      <c r="M212" s="5">
        <v>176</v>
      </c>
      <c r="N212" s="5">
        <v>1</v>
      </c>
      <c r="O212" s="5">
        <v>0</v>
      </c>
      <c r="P212" s="5">
        <v>0</v>
      </c>
    </row>
    <row r="213" spans="1:16">
      <c r="A213" s="1" t="s">
        <v>221</v>
      </c>
      <c r="B213" s="1" t="s">
        <v>167</v>
      </c>
      <c r="C213" s="1">
        <v>1991</v>
      </c>
      <c r="D213" s="1" t="s">
        <v>1710</v>
      </c>
      <c r="E213" s="17">
        <v>33487</v>
      </c>
      <c r="F213" s="18" t="str">
        <f t="shared" si="3"/>
        <v>PEPE1991_Septiembre</v>
      </c>
      <c r="G213" s="2" t="s">
        <v>1384</v>
      </c>
      <c r="H213" s="3">
        <v>5.0333333333333332</v>
      </c>
      <c r="I213" s="3">
        <v>-77.486111111111114</v>
      </c>
      <c r="J213" s="12">
        <v>28.12</v>
      </c>
      <c r="K213" s="12">
        <v>27.3</v>
      </c>
      <c r="L213" s="4">
        <v>120.79934250101709</v>
      </c>
      <c r="M213" s="5">
        <v>74</v>
      </c>
      <c r="N213" s="5">
        <v>359</v>
      </c>
      <c r="O213" s="5">
        <v>0</v>
      </c>
      <c r="P213" s="5">
        <v>311.02055714558747</v>
      </c>
    </row>
    <row r="214" spans="1:16">
      <c r="A214" s="1" t="s">
        <v>222</v>
      </c>
      <c r="B214" s="1" t="s">
        <v>167</v>
      </c>
      <c r="C214" s="1">
        <v>1991</v>
      </c>
      <c r="D214" s="1" t="s">
        <v>1710</v>
      </c>
      <c r="E214" s="17">
        <v>33487</v>
      </c>
      <c r="F214" s="18" t="str">
        <f t="shared" si="3"/>
        <v>PEPE1991_Septiembre</v>
      </c>
      <c r="G214" s="2" t="s">
        <v>1385</v>
      </c>
      <c r="H214" s="3">
        <v>5.0222222222222221</v>
      </c>
      <c r="I214" s="3">
        <v>-77.552777777777777</v>
      </c>
      <c r="J214" s="12">
        <v>29.14</v>
      </c>
      <c r="K214" s="12">
        <v>27.5</v>
      </c>
      <c r="L214" s="4">
        <v>93.17732331324747</v>
      </c>
      <c r="M214" s="5">
        <v>129</v>
      </c>
      <c r="N214" s="5">
        <v>212</v>
      </c>
      <c r="O214" s="5">
        <v>0</v>
      </c>
      <c r="P214" s="5">
        <v>0</v>
      </c>
    </row>
    <row r="215" spans="1:16">
      <c r="A215" s="1" t="s">
        <v>223</v>
      </c>
      <c r="B215" s="1" t="s">
        <v>167</v>
      </c>
      <c r="C215" s="1">
        <v>1991</v>
      </c>
      <c r="D215" s="1" t="s">
        <v>1710</v>
      </c>
      <c r="E215" s="17">
        <v>33488</v>
      </c>
      <c r="F215" s="18" t="str">
        <f t="shared" si="3"/>
        <v>PEPE1991_Septiembre</v>
      </c>
      <c r="G215" s="2" t="s">
        <v>1386</v>
      </c>
      <c r="H215" s="3">
        <v>5.0027777777777782</v>
      </c>
      <c r="I215" s="3">
        <v>-77.725000000000009</v>
      </c>
      <c r="J215" s="12">
        <v>31.15</v>
      </c>
      <c r="K215" s="12">
        <v>27.5</v>
      </c>
      <c r="L215" s="4">
        <v>127.82457803544007</v>
      </c>
      <c r="M215" s="5">
        <v>43</v>
      </c>
      <c r="N215" s="5">
        <v>220</v>
      </c>
      <c r="O215" s="5">
        <v>0</v>
      </c>
      <c r="P215" s="5">
        <v>0</v>
      </c>
    </row>
    <row r="216" spans="1:16">
      <c r="A216" s="1" t="s">
        <v>224</v>
      </c>
      <c r="B216" s="1" t="s">
        <v>167</v>
      </c>
      <c r="C216" s="1">
        <v>1991</v>
      </c>
      <c r="D216" s="1" t="s">
        <v>1710</v>
      </c>
      <c r="E216" s="17">
        <v>33488</v>
      </c>
      <c r="F216" s="18" t="str">
        <f t="shared" si="3"/>
        <v>PEPE1991_Septiembre</v>
      </c>
      <c r="G216" s="2" t="s">
        <v>1387</v>
      </c>
      <c r="H216" s="3">
        <v>5.0111111111111111</v>
      </c>
      <c r="I216" s="3">
        <v>-78.052777777777777</v>
      </c>
      <c r="J216" s="12">
        <v>30.5</v>
      </c>
      <c r="K216" s="12">
        <v>27.5</v>
      </c>
      <c r="L216" s="4">
        <v>77.389092194690321</v>
      </c>
      <c r="M216" s="5">
        <v>31</v>
      </c>
      <c r="N216" s="5">
        <v>219</v>
      </c>
      <c r="O216" s="5">
        <v>0</v>
      </c>
      <c r="P216" s="5">
        <v>0</v>
      </c>
    </row>
    <row r="217" spans="1:16">
      <c r="A217" s="1" t="s">
        <v>225</v>
      </c>
      <c r="B217" s="1" t="s">
        <v>167</v>
      </c>
      <c r="C217" s="1">
        <v>1991</v>
      </c>
      <c r="D217" s="1" t="s">
        <v>1710</v>
      </c>
      <c r="E217" s="17">
        <v>33488</v>
      </c>
      <c r="F217" s="18" t="str">
        <f t="shared" si="3"/>
        <v>PEPE1991_Septiembre</v>
      </c>
      <c r="G217" s="2" t="s">
        <v>1388</v>
      </c>
      <c r="H217" s="3">
        <v>4.8388888888888886</v>
      </c>
      <c r="I217" s="3">
        <v>-77.380555555555546</v>
      </c>
      <c r="J217" s="12">
        <v>25.14</v>
      </c>
      <c r="K217" s="12">
        <v>27.8</v>
      </c>
      <c r="L217" s="4">
        <v>73.03</v>
      </c>
      <c r="M217" s="5">
        <v>190</v>
      </c>
      <c r="N217" s="5">
        <v>15</v>
      </c>
      <c r="O217" s="5">
        <v>33</v>
      </c>
      <c r="P217" s="5">
        <v>4.7260497934150099</v>
      </c>
    </row>
    <row r="218" spans="1:16">
      <c r="A218" s="1" t="s">
        <v>226</v>
      </c>
      <c r="B218" s="1" t="s">
        <v>167</v>
      </c>
      <c r="C218" s="1">
        <v>1991</v>
      </c>
      <c r="D218" s="1" t="s">
        <v>1710</v>
      </c>
      <c r="E218" s="17">
        <v>33488</v>
      </c>
      <c r="F218" s="18" t="str">
        <f t="shared" si="3"/>
        <v>PEPE1991_Septiembre</v>
      </c>
      <c r="G218" s="2" t="s">
        <v>1389</v>
      </c>
      <c r="H218" s="3">
        <v>4.833333333333333</v>
      </c>
      <c r="I218" s="3">
        <v>-77.447222222222223</v>
      </c>
      <c r="J218" s="12">
        <v>26.01</v>
      </c>
      <c r="K218" s="12">
        <v>27.4</v>
      </c>
      <c r="L218" s="4">
        <v>83.406384977795213</v>
      </c>
      <c r="M218" s="5">
        <v>12</v>
      </c>
      <c r="N218" s="5">
        <v>258</v>
      </c>
      <c r="O218" s="5">
        <v>0</v>
      </c>
      <c r="P218" s="5">
        <v>46.865120981412261</v>
      </c>
    </row>
    <row r="219" spans="1:16">
      <c r="A219" s="1" t="s">
        <v>227</v>
      </c>
      <c r="B219" s="1" t="s">
        <v>167</v>
      </c>
      <c r="C219" s="1">
        <v>1991</v>
      </c>
      <c r="D219" s="1" t="s">
        <v>1710</v>
      </c>
      <c r="E219" s="17">
        <v>33488</v>
      </c>
      <c r="F219" s="18" t="str">
        <f t="shared" si="3"/>
        <v>PEPE1991_Septiembre</v>
      </c>
      <c r="G219" s="2" t="s">
        <v>1390</v>
      </c>
      <c r="H219" s="3">
        <v>4.8527777777777779</v>
      </c>
      <c r="I219" s="3">
        <v>-77.536111111111111</v>
      </c>
      <c r="J219" s="12">
        <v>28.8</v>
      </c>
      <c r="K219" s="12">
        <v>27.3</v>
      </c>
      <c r="L219" s="4">
        <v>49.80208753338546</v>
      </c>
      <c r="M219" s="5">
        <v>40</v>
      </c>
      <c r="N219" s="5">
        <v>8</v>
      </c>
      <c r="O219" s="5">
        <v>0</v>
      </c>
      <c r="P219" s="5">
        <v>0</v>
      </c>
    </row>
    <row r="220" spans="1:16">
      <c r="A220" s="1" t="s">
        <v>228</v>
      </c>
      <c r="B220" s="1" t="s">
        <v>167</v>
      </c>
      <c r="C220" s="1">
        <v>1991</v>
      </c>
      <c r="D220" s="1" t="s">
        <v>1710</v>
      </c>
      <c r="E220" s="17">
        <v>33488</v>
      </c>
      <c r="F220" s="18" t="str">
        <f t="shared" si="3"/>
        <v>PEPE1991_Septiembre</v>
      </c>
      <c r="G220" s="2" t="s">
        <v>1391</v>
      </c>
      <c r="H220" s="3">
        <v>4.8388888888888886</v>
      </c>
      <c r="I220" s="3">
        <v>-77.688888888888897</v>
      </c>
      <c r="J220" s="12">
        <f>30-0.4</f>
        <v>29.6</v>
      </c>
      <c r="K220" s="12">
        <v>27.2</v>
      </c>
      <c r="L220" s="4">
        <v>86.032066398992725</v>
      </c>
      <c r="M220" s="5">
        <v>90</v>
      </c>
      <c r="N220" s="5">
        <v>103</v>
      </c>
      <c r="O220" s="5">
        <v>0</v>
      </c>
      <c r="P220" s="5">
        <v>0</v>
      </c>
    </row>
    <row r="221" spans="1:16">
      <c r="A221" s="1" t="s">
        <v>229</v>
      </c>
      <c r="B221" s="1" t="s">
        <v>167</v>
      </c>
      <c r="C221" s="1">
        <v>1991</v>
      </c>
      <c r="D221" s="1" t="s">
        <v>1710</v>
      </c>
      <c r="E221" s="17">
        <v>33488</v>
      </c>
      <c r="F221" s="18" t="str">
        <f t="shared" si="3"/>
        <v>PEPE1991_Septiembre</v>
      </c>
      <c r="G221" s="2" t="s">
        <v>1392</v>
      </c>
      <c r="H221" s="3">
        <v>4.8361111111111112</v>
      </c>
      <c r="I221" s="3">
        <v>-78.075000000000003</v>
      </c>
      <c r="J221" s="12">
        <v>29.79</v>
      </c>
      <c r="K221" s="12">
        <v>27.6</v>
      </c>
      <c r="L221" s="4">
        <v>77.569431947858135</v>
      </c>
      <c r="M221" s="5">
        <v>71</v>
      </c>
      <c r="N221" s="5">
        <v>148</v>
      </c>
      <c r="O221" s="5">
        <v>0</v>
      </c>
      <c r="P221" s="5">
        <v>0</v>
      </c>
    </row>
    <row r="222" spans="1:16">
      <c r="A222" s="1" t="s">
        <v>230</v>
      </c>
      <c r="B222" s="1" t="s">
        <v>167</v>
      </c>
      <c r="C222" s="1">
        <v>1991</v>
      </c>
      <c r="D222" s="1" t="s">
        <v>1710</v>
      </c>
      <c r="E222" s="17">
        <v>33488</v>
      </c>
      <c r="F222" s="18" t="str">
        <f t="shared" si="3"/>
        <v>PEPE1991_Septiembre</v>
      </c>
      <c r="G222" s="2" t="s">
        <v>1393</v>
      </c>
      <c r="H222" s="3">
        <v>4.6722222222222225</v>
      </c>
      <c r="I222" s="3">
        <v>-77.349999999999994</v>
      </c>
      <c r="J222" s="12">
        <v>26.78</v>
      </c>
      <c r="K222" s="12">
        <v>28.4</v>
      </c>
      <c r="L222" s="4">
        <v>270.62865611956704</v>
      </c>
      <c r="M222" s="5">
        <v>85</v>
      </c>
      <c r="N222" s="5">
        <v>22</v>
      </c>
      <c r="O222" s="5">
        <v>40</v>
      </c>
      <c r="P222" s="5">
        <v>17.741641470467044</v>
      </c>
    </row>
    <row r="223" spans="1:16">
      <c r="A223" s="1" t="s">
        <v>231</v>
      </c>
      <c r="B223" s="1" t="s">
        <v>167</v>
      </c>
      <c r="C223" s="1">
        <v>1991</v>
      </c>
      <c r="D223" s="1" t="s">
        <v>1710</v>
      </c>
      <c r="E223" s="17">
        <v>33488</v>
      </c>
      <c r="F223" s="18" t="str">
        <f t="shared" si="3"/>
        <v>PEPE1991_Septiembre</v>
      </c>
      <c r="G223" s="2" t="s">
        <v>1394</v>
      </c>
      <c r="H223" s="3">
        <v>4.6722222222222225</v>
      </c>
      <c r="I223" s="3">
        <v>-77.422222222222231</v>
      </c>
      <c r="J223" s="12">
        <v>25.07</v>
      </c>
      <c r="K223" s="12">
        <v>27.8</v>
      </c>
      <c r="L223" s="4">
        <v>216.1679730865668</v>
      </c>
      <c r="M223" s="5">
        <v>13</v>
      </c>
      <c r="N223" s="5">
        <v>364</v>
      </c>
      <c r="O223" s="5">
        <v>0</v>
      </c>
      <c r="P223" s="5">
        <v>59.610480258351672</v>
      </c>
    </row>
    <row r="224" spans="1:16">
      <c r="A224" s="1" t="s">
        <v>232</v>
      </c>
      <c r="B224" s="1" t="s">
        <v>167</v>
      </c>
      <c r="C224" s="1">
        <v>1991</v>
      </c>
      <c r="D224" s="1" t="s">
        <v>1710</v>
      </c>
      <c r="E224" s="17">
        <v>33488</v>
      </c>
      <c r="F224" s="18" t="str">
        <f t="shared" si="3"/>
        <v>PEPE1991_Septiembre</v>
      </c>
      <c r="G224" s="2" t="s">
        <v>1395</v>
      </c>
      <c r="H224" s="3">
        <v>4.6861111111111118</v>
      </c>
      <c r="I224" s="3">
        <v>-77.527777777777771</v>
      </c>
      <c r="J224" s="12">
        <v>29.62</v>
      </c>
      <c r="K224" s="12">
        <v>28.1</v>
      </c>
      <c r="L224" s="4">
        <v>75.554887457505572</v>
      </c>
      <c r="M224" s="5">
        <v>78</v>
      </c>
      <c r="N224" s="5">
        <v>102</v>
      </c>
      <c r="O224" s="5">
        <v>0</v>
      </c>
      <c r="P224" s="5">
        <v>0</v>
      </c>
    </row>
    <row r="225" spans="1:16">
      <c r="A225" s="1" t="s">
        <v>233</v>
      </c>
      <c r="B225" s="1" t="s">
        <v>167</v>
      </c>
      <c r="C225" s="1">
        <v>1991</v>
      </c>
      <c r="D225" s="1" t="s">
        <v>1710</v>
      </c>
      <c r="E225" s="17">
        <v>33488</v>
      </c>
      <c r="F225" s="18" t="str">
        <f t="shared" si="3"/>
        <v>PEPE1991_Septiembre</v>
      </c>
      <c r="G225" s="2" t="s">
        <v>1396</v>
      </c>
      <c r="H225" s="3">
        <v>4.666666666666667</v>
      </c>
      <c r="I225" s="3">
        <v>-77.691666666666677</v>
      </c>
      <c r="J225" s="12">
        <v>30.06</v>
      </c>
      <c r="K225" s="12">
        <v>21.6</v>
      </c>
      <c r="L225" s="4">
        <v>93.932096133393316</v>
      </c>
      <c r="M225" s="5">
        <v>17</v>
      </c>
      <c r="N225" s="5">
        <v>71</v>
      </c>
      <c r="O225" s="5">
        <v>0</v>
      </c>
      <c r="P225" s="5">
        <v>0</v>
      </c>
    </row>
    <row r="226" spans="1:16">
      <c r="A226" s="1" t="s">
        <v>234</v>
      </c>
      <c r="B226" s="1" t="s">
        <v>167</v>
      </c>
      <c r="C226" s="1">
        <v>1991</v>
      </c>
      <c r="D226" s="1" t="s">
        <v>1710</v>
      </c>
      <c r="E226" s="17">
        <v>33488</v>
      </c>
      <c r="F226" s="18" t="str">
        <f t="shared" si="3"/>
        <v>PEPE1991_Septiembre</v>
      </c>
      <c r="G226" s="2" t="s">
        <v>1397</v>
      </c>
      <c r="H226" s="3">
        <v>4.666666666666667</v>
      </c>
      <c r="I226" s="3">
        <v>-78.00555555555556</v>
      </c>
      <c r="J226" s="12">
        <v>29.75</v>
      </c>
      <c r="K226" s="12">
        <v>27.7</v>
      </c>
      <c r="L226" s="4">
        <v>121.56226932740749</v>
      </c>
      <c r="M226" s="5">
        <v>138</v>
      </c>
      <c r="N226" s="5">
        <v>191</v>
      </c>
      <c r="O226" s="5">
        <v>23</v>
      </c>
      <c r="P226" s="5">
        <v>0</v>
      </c>
    </row>
    <row r="227" spans="1:16">
      <c r="A227" s="1" t="s">
        <v>235</v>
      </c>
      <c r="B227" s="1" t="s">
        <v>167</v>
      </c>
      <c r="C227" s="1">
        <v>1991</v>
      </c>
      <c r="D227" s="1" t="s">
        <v>1710</v>
      </c>
      <c r="E227" s="17">
        <v>33489</v>
      </c>
      <c r="F227" s="18" t="str">
        <f t="shared" si="3"/>
        <v>PEPE1991_Septiembre</v>
      </c>
      <c r="G227" s="2" t="s">
        <v>1398</v>
      </c>
      <c r="H227" s="3">
        <v>4.5222222222222221</v>
      </c>
      <c r="I227" s="3">
        <v>-77.36944444444444</v>
      </c>
      <c r="J227" s="12">
        <v>27.19</v>
      </c>
      <c r="K227" s="12">
        <v>28.1</v>
      </c>
      <c r="L227" s="4">
        <v>131.35666665413524</v>
      </c>
      <c r="M227" s="5">
        <v>640</v>
      </c>
      <c r="N227" s="5">
        <v>95</v>
      </c>
      <c r="O227" s="5">
        <v>51</v>
      </c>
      <c r="P227" s="5">
        <v>74.458212926230033</v>
      </c>
    </row>
    <row r="228" spans="1:16">
      <c r="A228" s="1" t="s">
        <v>236</v>
      </c>
      <c r="B228" s="1" t="s">
        <v>167</v>
      </c>
      <c r="C228" s="1">
        <v>1991</v>
      </c>
      <c r="D228" s="1" t="s">
        <v>1710</v>
      </c>
      <c r="E228" s="17">
        <v>33489</v>
      </c>
      <c r="F228" s="18" t="str">
        <f t="shared" si="3"/>
        <v>PEPE1991_Septiembre</v>
      </c>
      <c r="G228" s="2" t="s">
        <v>1399</v>
      </c>
      <c r="H228" s="3">
        <v>4.5166666666666666</v>
      </c>
      <c r="I228" s="3">
        <v>-77.45</v>
      </c>
      <c r="J228" s="12">
        <v>28.37</v>
      </c>
      <c r="K228" s="12">
        <v>27.9</v>
      </c>
      <c r="L228" s="4">
        <v>182.31990461563717</v>
      </c>
      <c r="M228" s="5">
        <v>30</v>
      </c>
      <c r="N228" s="5">
        <v>219</v>
      </c>
      <c r="O228" s="5">
        <v>0</v>
      </c>
      <c r="P228" s="5">
        <v>120.27279467684352</v>
      </c>
    </row>
    <row r="229" spans="1:16">
      <c r="A229" s="1" t="s">
        <v>237</v>
      </c>
      <c r="B229" s="1" t="s">
        <v>167</v>
      </c>
      <c r="C229" s="1">
        <v>1991</v>
      </c>
      <c r="D229" s="1" t="s">
        <v>1710</v>
      </c>
      <c r="E229" s="17">
        <v>33489</v>
      </c>
      <c r="F229" s="18" t="str">
        <f t="shared" si="3"/>
        <v>PEPE1991_Septiembre</v>
      </c>
      <c r="G229" s="2" t="s">
        <v>1400</v>
      </c>
      <c r="H229" s="3">
        <v>4.5055555555555555</v>
      </c>
      <c r="I229" s="3">
        <v>-77.525000000000006</v>
      </c>
      <c r="J229" s="12">
        <v>27.1</v>
      </c>
      <c r="K229" s="12">
        <v>27.5</v>
      </c>
      <c r="L229" s="4">
        <v>70.811687557376004</v>
      </c>
      <c r="M229" s="5">
        <v>36</v>
      </c>
      <c r="N229" s="5">
        <v>523</v>
      </c>
      <c r="O229" s="5">
        <v>0</v>
      </c>
      <c r="P229" s="5">
        <v>64.43792756033659</v>
      </c>
    </row>
    <row r="230" spans="1:16">
      <c r="A230" s="1" t="s">
        <v>238</v>
      </c>
      <c r="B230" s="1" t="s">
        <v>167</v>
      </c>
      <c r="C230" s="1">
        <v>1991</v>
      </c>
      <c r="D230" s="1" t="s">
        <v>1710</v>
      </c>
      <c r="E230" s="17">
        <v>33489</v>
      </c>
      <c r="F230" s="18" t="str">
        <f t="shared" si="3"/>
        <v>PEPE1991_Septiembre</v>
      </c>
      <c r="G230" s="2" t="s">
        <v>1401</v>
      </c>
      <c r="H230" s="3">
        <v>4.5027777777777782</v>
      </c>
      <c r="I230" s="3">
        <v>-77.669444444444451</v>
      </c>
      <c r="J230" s="12">
        <v>26.76</v>
      </c>
      <c r="K230" s="12">
        <v>28</v>
      </c>
      <c r="L230" s="4">
        <v>229.69821397386534</v>
      </c>
      <c r="M230" s="5">
        <v>97</v>
      </c>
      <c r="N230" s="5">
        <v>581</v>
      </c>
      <c r="O230" s="5">
        <v>0</v>
      </c>
      <c r="P230" s="5">
        <v>64.591137769450938</v>
      </c>
    </row>
    <row r="231" spans="1:16">
      <c r="A231" s="1" t="s">
        <v>239</v>
      </c>
      <c r="B231" s="1" t="s">
        <v>167</v>
      </c>
      <c r="C231" s="1">
        <v>1991</v>
      </c>
      <c r="D231" s="1" t="s">
        <v>1710</v>
      </c>
      <c r="E231" s="17">
        <v>33488</v>
      </c>
      <c r="F231" s="18" t="str">
        <f t="shared" si="3"/>
        <v>PEPE1991_Septiembre</v>
      </c>
      <c r="G231" s="2" t="s">
        <v>1402</v>
      </c>
      <c r="H231" s="3">
        <v>4.5055555555555555</v>
      </c>
      <c r="I231" s="3">
        <v>-78.036111111111111</v>
      </c>
      <c r="J231" s="12">
        <v>30.18</v>
      </c>
      <c r="K231" s="12">
        <v>27.6</v>
      </c>
      <c r="L231" s="4">
        <v>121.276214712567</v>
      </c>
      <c r="M231" s="5">
        <v>43</v>
      </c>
      <c r="N231" s="5">
        <v>260</v>
      </c>
      <c r="O231" s="5">
        <v>0</v>
      </c>
      <c r="P231" s="5">
        <v>0</v>
      </c>
    </row>
    <row r="232" spans="1:16">
      <c r="A232" s="1" t="s">
        <v>240</v>
      </c>
      <c r="B232" s="1" t="s">
        <v>167</v>
      </c>
      <c r="C232" s="1">
        <v>1991</v>
      </c>
      <c r="D232" s="1" t="s">
        <v>1710</v>
      </c>
      <c r="E232" s="17">
        <v>33489</v>
      </c>
      <c r="F232" s="18" t="str">
        <f t="shared" si="3"/>
        <v>PEPE1991_Septiembre</v>
      </c>
      <c r="G232" s="2" t="s">
        <v>1403</v>
      </c>
      <c r="H232" s="3">
        <v>4.333333333333333</v>
      </c>
      <c r="I232" s="3">
        <v>-77.50833333333334</v>
      </c>
      <c r="J232" s="12">
        <v>26.68</v>
      </c>
      <c r="K232" s="12">
        <v>27.7</v>
      </c>
      <c r="L232" s="4">
        <v>54.754186738849988</v>
      </c>
      <c r="M232" s="5">
        <v>1084</v>
      </c>
      <c r="N232" s="5">
        <v>7</v>
      </c>
      <c r="O232" s="5">
        <v>117</v>
      </c>
      <c r="P232" s="5">
        <v>4.3365315897169188</v>
      </c>
    </row>
    <row r="233" spans="1:16">
      <c r="A233" s="1" t="s">
        <v>241</v>
      </c>
      <c r="B233" s="1" t="s">
        <v>167</v>
      </c>
      <c r="C233" s="1">
        <v>1991</v>
      </c>
      <c r="D233" s="1" t="s">
        <v>1710</v>
      </c>
      <c r="E233" s="17">
        <v>33489</v>
      </c>
      <c r="F233" s="18" t="str">
        <f t="shared" si="3"/>
        <v>PEPE1991_Septiembre</v>
      </c>
      <c r="G233" s="2" t="s">
        <v>1404</v>
      </c>
      <c r="H233" s="3">
        <v>4.3416666666666668</v>
      </c>
      <c r="I233" s="3">
        <v>-77.50555555555556</v>
      </c>
      <c r="J233" s="12">
        <v>26.19</v>
      </c>
      <c r="K233" s="12">
        <v>27.8</v>
      </c>
      <c r="L233" s="4">
        <v>112.72150909246935</v>
      </c>
      <c r="M233" s="5">
        <v>108</v>
      </c>
      <c r="N233" s="5">
        <v>8</v>
      </c>
      <c r="O233" s="5">
        <v>7</v>
      </c>
      <c r="P233" s="5">
        <v>4.7793919855207001</v>
      </c>
    </row>
    <row r="234" spans="1:16">
      <c r="A234" s="1" t="s">
        <v>242</v>
      </c>
      <c r="B234" s="1" t="s">
        <v>167</v>
      </c>
      <c r="C234" s="1">
        <v>1991</v>
      </c>
      <c r="D234" s="1" t="s">
        <v>1710</v>
      </c>
      <c r="E234" s="17">
        <v>33489</v>
      </c>
      <c r="F234" s="18" t="str">
        <f t="shared" si="3"/>
        <v>PEPE1991_Septiembre</v>
      </c>
      <c r="G234" s="2" t="s">
        <v>1405</v>
      </c>
      <c r="H234" s="3">
        <v>4.3416666666666668</v>
      </c>
      <c r="I234" s="3">
        <v>-77.597222222222214</v>
      </c>
      <c r="J234" s="12">
        <v>27.49</v>
      </c>
      <c r="K234" s="12">
        <v>27.9</v>
      </c>
      <c r="L234" s="4">
        <v>44.975720866794994</v>
      </c>
      <c r="M234" s="5">
        <v>35</v>
      </c>
      <c r="N234" s="5">
        <v>78</v>
      </c>
      <c r="O234" s="5">
        <v>4</v>
      </c>
      <c r="P234" s="5">
        <v>8.6911083002994651</v>
      </c>
    </row>
    <row r="235" spans="1:16">
      <c r="A235" s="1" t="s">
        <v>243</v>
      </c>
      <c r="B235" s="1" t="s">
        <v>167</v>
      </c>
      <c r="C235" s="1">
        <v>1991</v>
      </c>
      <c r="D235" s="1" t="s">
        <v>1710</v>
      </c>
      <c r="E235" s="17">
        <v>33489</v>
      </c>
      <c r="F235" s="18" t="str">
        <f t="shared" si="3"/>
        <v>PEPE1991_Septiembre</v>
      </c>
      <c r="G235" s="2" t="s">
        <v>1406</v>
      </c>
      <c r="H235" s="3">
        <v>4.333333333333333</v>
      </c>
      <c r="I235" s="3">
        <v>-77.766666666666666</v>
      </c>
      <c r="J235" s="12">
        <v>30.66</v>
      </c>
      <c r="K235" s="12">
        <v>27.5</v>
      </c>
      <c r="L235" s="4">
        <v>56.280037389705882</v>
      </c>
      <c r="M235" s="5">
        <v>52</v>
      </c>
      <c r="N235" s="5">
        <v>75</v>
      </c>
      <c r="O235" s="5">
        <v>0</v>
      </c>
      <c r="P235" s="5">
        <v>0</v>
      </c>
    </row>
    <row r="236" spans="1:16">
      <c r="A236" s="1" t="s">
        <v>244</v>
      </c>
      <c r="B236" s="1" t="s">
        <v>167</v>
      </c>
      <c r="C236" s="1">
        <v>1991</v>
      </c>
      <c r="D236" s="1" t="s">
        <v>1710</v>
      </c>
      <c r="E236" s="17">
        <v>33489</v>
      </c>
      <c r="F236" s="18" t="str">
        <f t="shared" si="3"/>
        <v>PEPE1991_Septiembre</v>
      </c>
      <c r="G236" s="2" t="s">
        <v>1407</v>
      </c>
      <c r="H236" s="3">
        <v>4.333333333333333</v>
      </c>
      <c r="I236" s="3">
        <v>-78.080555555555549</v>
      </c>
      <c r="J236" s="12">
        <v>31.34</v>
      </c>
      <c r="K236" s="12">
        <v>27.5</v>
      </c>
      <c r="L236" s="4">
        <v>96.790792223385125</v>
      </c>
      <c r="M236" s="5">
        <v>52</v>
      </c>
      <c r="N236" s="5">
        <v>282</v>
      </c>
      <c r="O236" s="5">
        <v>0</v>
      </c>
      <c r="P236" s="5">
        <v>0</v>
      </c>
    </row>
    <row r="237" spans="1:16">
      <c r="A237" s="1" t="s">
        <v>245</v>
      </c>
      <c r="B237" s="1" t="s">
        <v>167</v>
      </c>
      <c r="C237" s="1">
        <v>1991</v>
      </c>
      <c r="D237" s="1" t="s">
        <v>1710</v>
      </c>
      <c r="E237" s="17">
        <v>33489</v>
      </c>
      <c r="F237" s="18" t="str">
        <f t="shared" si="3"/>
        <v>PEPE1991_Septiembre</v>
      </c>
      <c r="G237" s="2" t="s">
        <v>1408</v>
      </c>
      <c r="H237" s="3">
        <v>4.166666666666667</v>
      </c>
      <c r="I237" s="3">
        <v>-77.552777777777777</v>
      </c>
      <c r="J237" s="12">
        <v>26.7</v>
      </c>
      <c r="K237" s="12">
        <v>28.3</v>
      </c>
      <c r="L237" s="4">
        <v>6.5332562107002703</v>
      </c>
      <c r="M237" s="5">
        <v>165</v>
      </c>
      <c r="N237" s="5">
        <v>3</v>
      </c>
      <c r="O237" s="5">
        <v>162</v>
      </c>
      <c r="P237" s="5">
        <v>0.56577998784664341</v>
      </c>
    </row>
    <row r="238" spans="1:16">
      <c r="A238" s="1" t="s">
        <v>246</v>
      </c>
      <c r="B238" s="1" t="s">
        <v>167</v>
      </c>
      <c r="C238" s="1">
        <v>1991</v>
      </c>
      <c r="D238" s="1" t="s">
        <v>1710</v>
      </c>
      <c r="E238" s="17">
        <v>33489</v>
      </c>
      <c r="F238" s="18" t="str">
        <f t="shared" si="3"/>
        <v>PEPE1991_Septiembre</v>
      </c>
      <c r="G238" s="2" t="s">
        <v>1409</v>
      </c>
      <c r="H238" s="3">
        <v>4.166666666666667</v>
      </c>
      <c r="I238" s="3">
        <v>-77.608333333333334</v>
      </c>
      <c r="J238" s="12">
        <v>28.63</v>
      </c>
      <c r="K238" s="12">
        <v>28.4</v>
      </c>
      <c r="L238" s="4">
        <v>188.47739140221643</v>
      </c>
      <c r="M238" s="5">
        <v>4</v>
      </c>
      <c r="N238" s="5">
        <v>368</v>
      </c>
      <c r="O238" s="5">
        <v>0</v>
      </c>
      <c r="P238" s="5">
        <v>7.2186840907048886</v>
      </c>
    </row>
    <row r="239" spans="1:16">
      <c r="A239" s="1" t="s">
        <v>247</v>
      </c>
      <c r="B239" s="1" t="s">
        <v>167</v>
      </c>
      <c r="C239" s="1">
        <v>1991</v>
      </c>
      <c r="D239" s="1" t="s">
        <v>1710</v>
      </c>
      <c r="E239" s="17">
        <v>33489</v>
      </c>
      <c r="F239" s="18" t="str">
        <f t="shared" si="3"/>
        <v>PEPE1991_Septiembre</v>
      </c>
      <c r="G239" s="2" t="s">
        <v>1410</v>
      </c>
      <c r="H239" s="3">
        <v>4.1833333333333336</v>
      </c>
      <c r="I239" s="3">
        <v>-77.702777777777783</v>
      </c>
      <c r="J239" s="12">
        <v>29.32</v>
      </c>
      <c r="K239" s="12">
        <v>28.1</v>
      </c>
      <c r="L239" s="4">
        <v>132.76194630865584</v>
      </c>
      <c r="M239" s="5">
        <v>30</v>
      </c>
      <c r="N239" s="5">
        <v>141</v>
      </c>
      <c r="O239" s="5">
        <v>0</v>
      </c>
      <c r="P239" s="5">
        <v>0</v>
      </c>
    </row>
    <row r="240" spans="1:16">
      <c r="A240" s="1" t="s">
        <v>248</v>
      </c>
      <c r="B240" s="1" t="s">
        <v>167</v>
      </c>
      <c r="C240" s="1">
        <v>1991</v>
      </c>
      <c r="D240" s="1" t="s">
        <v>1710</v>
      </c>
      <c r="E240" s="17">
        <v>33489</v>
      </c>
      <c r="F240" s="18" t="str">
        <f t="shared" si="3"/>
        <v>PEPE1991_Septiembre</v>
      </c>
      <c r="G240" s="2" t="s">
        <v>1411</v>
      </c>
      <c r="H240" s="3">
        <v>4.1861111111111118</v>
      </c>
      <c r="I240" s="3">
        <v>-77.86944444444444</v>
      </c>
      <c r="J240" s="12">
        <v>30.85</v>
      </c>
      <c r="K240" s="12">
        <v>27.9</v>
      </c>
      <c r="L240" s="4">
        <v>97.164237628093176</v>
      </c>
      <c r="M240" s="5">
        <v>84</v>
      </c>
      <c r="N240" s="5">
        <v>457</v>
      </c>
      <c r="O240" s="5">
        <v>0</v>
      </c>
      <c r="P240" s="5">
        <v>0</v>
      </c>
    </row>
    <row r="241" spans="1:16">
      <c r="A241" s="1" t="s">
        <v>249</v>
      </c>
      <c r="B241" s="1" t="s">
        <v>167</v>
      </c>
      <c r="C241" s="1">
        <v>1991</v>
      </c>
      <c r="D241" s="1" t="s">
        <v>1710</v>
      </c>
      <c r="E241" s="17">
        <v>33489</v>
      </c>
      <c r="F241" s="18" t="str">
        <f t="shared" si="3"/>
        <v>PEPE1991_Septiembre</v>
      </c>
      <c r="G241" s="2" t="s">
        <v>1412</v>
      </c>
      <c r="H241" s="3">
        <v>4.1694444444444452</v>
      </c>
      <c r="I241" s="3">
        <v>-78.133333333333326</v>
      </c>
      <c r="J241" s="12">
        <v>31.52</v>
      </c>
      <c r="K241" s="12">
        <v>27.7</v>
      </c>
      <c r="L241" s="4">
        <v>102.57477522223293</v>
      </c>
      <c r="M241" s="5">
        <v>48</v>
      </c>
      <c r="N241" s="5">
        <v>176</v>
      </c>
      <c r="O241" s="5">
        <v>0</v>
      </c>
      <c r="P241" s="5">
        <v>0</v>
      </c>
    </row>
    <row r="242" spans="1:16">
      <c r="A242" s="1" t="s">
        <v>250</v>
      </c>
      <c r="B242" s="1" t="s">
        <v>167</v>
      </c>
      <c r="C242" s="1">
        <v>1991</v>
      </c>
      <c r="D242" s="1" t="s">
        <v>1710</v>
      </c>
      <c r="E242" s="17">
        <v>33489</v>
      </c>
      <c r="F242" s="18" t="str">
        <f t="shared" si="3"/>
        <v>PEPE1991_Septiembre</v>
      </c>
      <c r="G242" s="2" t="s">
        <v>1413</v>
      </c>
      <c r="H242" s="3">
        <v>4</v>
      </c>
      <c r="I242" s="3">
        <v>-77.472222222222229</v>
      </c>
      <c r="J242" s="12">
        <v>27.2</v>
      </c>
      <c r="K242" s="12">
        <v>28.4</v>
      </c>
      <c r="L242" s="4">
        <v>45.207471136090646</v>
      </c>
      <c r="M242" s="5">
        <v>349</v>
      </c>
      <c r="N242" s="5">
        <v>3</v>
      </c>
      <c r="O242" s="5">
        <v>0</v>
      </c>
      <c r="P242" s="5">
        <v>0</v>
      </c>
    </row>
    <row r="243" spans="1:16">
      <c r="A243" s="1" t="s">
        <v>251</v>
      </c>
      <c r="B243" s="1" t="s">
        <v>167</v>
      </c>
      <c r="C243" s="1">
        <v>1991</v>
      </c>
      <c r="D243" s="1" t="s">
        <v>1710</v>
      </c>
      <c r="E243" s="17">
        <v>33489</v>
      </c>
      <c r="F243" s="18" t="str">
        <f t="shared" si="3"/>
        <v>PEPE1991_Septiembre</v>
      </c>
      <c r="G243" s="2" t="s">
        <v>1414</v>
      </c>
      <c r="H243" s="3">
        <v>4</v>
      </c>
      <c r="I243" s="3">
        <v>-77.538888888888891</v>
      </c>
      <c r="J243" s="12">
        <v>26.66</v>
      </c>
      <c r="K243" s="12">
        <v>28.2</v>
      </c>
      <c r="L243" s="4">
        <v>216.19274878548791</v>
      </c>
      <c r="M243" s="5">
        <v>342</v>
      </c>
      <c r="N243" s="5">
        <v>835</v>
      </c>
      <c r="O243" s="5">
        <v>220</v>
      </c>
      <c r="P243" s="5">
        <v>189.53185900526157</v>
      </c>
    </row>
    <row r="244" spans="1:16">
      <c r="A244" s="1" t="s">
        <v>252</v>
      </c>
      <c r="B244" s="1" t="s">
        <v>167</v>
      </c>
      <c r="C244" s="1">
        <v>1991</v>
      </c>
      <c r="D244" s="1" t="s">
        <v>1710</v>
      </c>
      <c r="E244" s="17">
        <v>33489</v>
      </c>
      <c r="F244" s="18" t="str">
        <f t="shared" si="3"/>
        <v>PEPE1991_Septiembre</v>
      </c>
      <c r="G244" s="2" t="s">
        <v>1514</v>
      </c>
      <c r="H244" s="3">
        <v>4</v>
      </c>
      <c r="I244" s="3">
        <v>-77.61666666666666</v>
      </c>
      <c r="J244" s="12">
        <v>29.07</v>
      </c>
      <c r="K244" s="12">
        <v>28.3</v>
      </c>
      <c r="L244" s="4">
        <v>110.83387585365661</v>
      </c>
      <c r="M244" s="5">
        <v>46</v>
      </c>
      <c r="N244" s="5">
        <v>229</v>
      </c>
      <c r="O244" s="5">
        <v>0</v>
      </c>
      <c r="P244" s="5">
        <v>0</v>
      </c>
    </row>
    <row r="245" spans="1:16">
      <c r="A245" s="1" t="s">
        <v>253</v>
      </c>
      <c r="B245" s="1" t="s">
        <v>167</v>
      </c>
      <c r="C245" s="1">
        <v>1991</v>
      </c>
      <c r="D245" s="1" t="s">
        <v>1710</v>
      </c>
      <c r="E245" s="17">
        <v>33490</v>
      </c>
      <c r="F245" s="18" t="str">
        <f t="shared" si="3"/>
        <v>PEPE1991_Septiembre</v>
      </c>
      <c r="G245" s="2" t="s">
        <v>1415</v>
      </c>
      <c r="H245" s="3">
        <v>4.0194444444444448</v>
      </c>
      <c r="I245" s="3">
        <v>-77.75</v>
      </c>
      <c r="J245" s="12">
        <v>30.55</v>
      </c>
      <c r="K245" s="12">
        <v>28.1</v>
      </c>
      <c r="L245" s="4">
        <v>122.30829759557363</v>
      </c>
      <c r="M245" s="5">
        <v>32</v>
      </c>
      <c r="N245" s="5">
        <v>283</v>
      </c>
      <c r="O245" s="5">
        <v>0</v>
      </c>
      <c r="P245" s="5">
        <v>24.292586284203196</v>
      </c>
    </row>
    <row r="246" spans="1:16">
      <c r="A246" s="1" t="s">
        <v>254</v>
      </c>
      <c r="B246" s="1" t="s">
        <v>167</v>
      </c>
      <c r="C246" s="1">
        <v>1991</v>
      </c>
      <c r="D246" s="1" t="s">
        <v>1710</v>
      </c>
      <c r="E246" s="17">
        <v>33490</v>
      </c>
      <c r="F246" s="18" t="str">
        <f t="shared" si="3"/>
        <v>PEPE1991_Septiembre</v>
      </c>
      <c r="G246" s="2" t="s">
        <v>1515</v>
      </c>
      <c r="H246" s="3">
        <v>4.0027777777777782</v>
      </c>
      <c r="I246" s="3">
        <v>-77.936111111111117</v>
      </c>
      <c r="J246" s="12">
        <v>30.44</v>
      </c>
      <c r="K246" s="12">
        <v>27.7</v>
      </c>
      <c r="L246" s="4">
        <v>125.03893053237414</v>
      </c>
      <c r="M246" s="5">
        <v>404</v>
      </c>
      <c r="N246" s="5">
        <v>184</v>
      </c>
      <c r="O246" s="5">
        <v>0</v>
      </c>
      <c r="P246" s="5">
        <v>0</v>
      </c>
    </row>
    <row r="247" spans="1:16">
      <c r="A247" s="1" t="s">
        <v>255</v>
      </c>
      <c r="B247" s="1" t="s">
        <v>167</v>
      </c>
      <c r="C247" s="1">
        <v>1991</v>
      </c>
      <c r="D247" s="1" t="s">
        <v>1710</v>
      </c>
      <c r="E247" s="17">
        <v>33490</v>
      </c>
      <c r="F247" s="18" t="str">
        <f t="shared" si="3"/>
        <v>PEPE1991_Septiembre</v>
      </c>
      <c r="G247" s="2" t="s">
        <v>1417</v>
      </c>
      <c r="H247" s="3">
        <v>3.8277777777777775</v>
      </c>
      <c r="I247" s="3">
        <v>-77.272222222222226</v>
      </c>
      <c r="J247" s="12">
        <v>27.2</v>
      </c>
      <c r="K247" s="12">
        <v>28.3</v>
      </c>
      <c r="L247" s="4">
        <v>487.34261237991359</v>
      </c>
      <c r="M247" s="5">
        <v>8</v>
      </c>
      <c r="N247" s="5">
        <v>31</v>
      </c>
      <c r="O247" s="5">
        <v>4</v>
      </c>
      <c r="P247" s="5">
        <v>27.911440527213234</v>
      </c>
    </row>
    <row r="248" spans="1:16">
      <c r="A248" s="1" t="s">
        <v>256</v>
      </c>
      <c r="B248" s="1" t="s">
        <v>167</v>
      </c>
      <c r="C248" s="1">
        <v>1991</v>
      </c>
      <c r="D248" s="1" t="s">
        <v>1710</v>
      </c>
      <c r="E248" s="17">
        <v>33490</v>
      </c>
      <c r="F248" s="18" t="str">
        <f t="shared" si="3"/>
        <v>PEPE1991_Septiembre</v>
      </c>
      <c r="G248" s="2" t="s">
        <v>1418</v>
      </c>
      <c r="H248" s="3">
        <v>3.8416666666666663</v>
      </c>
      <c r="I248" s="3">
        <v>-77.349999999999994</v>
      </c>
      <c r="J248" s="12">
        <v>26.4</v>
      </c>
      <c r="K248" s="12">
        <v>28.5</v>
      </c>
      <c r="L248" s="4">
        <v>240.83691784780976</v>
      </c>
      <c r="M248" s="5">
        <v>86</v>
      </c>
      <c r="N248" s="5">
        <v>140</v>
      </c>
      <c r="O248" s="5">
        <v>5</v>
      </c>
      <c r="P248" s="5">
        <v>29.460816531070847</v>
      </c>
    </row>
    <row r="249" spans="1:16">
      <c r="A249" s="1" t="s">
        <v>257</v>
      </c>
      <c r="B249" s="1" t="s">
        <v>167</v>
      </c>
      <c r="C249" s="1">
        <v>1991</v>
      </c>
      <c r="D249" s="1" t="s">
        <v>1710</v>
      </c>
      <c r="E249" s="17">
        <v>33490</v>
      </c>
      <c r="F249" s="18" t="str">
        <f t="shared" si="3"/>
        <v>PEPE1991_Septiembre</v>
      </c>
      <c r="G249" s="2" t="s">
        <v>1419</v>
      </c>
      <c r="H249" s="3">
        <v>3.8333333333333335</v>
      </c>
      <c r="I249" s="3">
        <v>-77.436111111111117</v>
      </c>
      <c r="J249" s="12">
        <v>29</v>
      </c>
      <c r="K249" s="12">
        <v>27.7</v>
      </c>
      <c r="L249" s="4">
        <v>115.90768914547019</v>
      </c>
      <c r="M249" s="5">
        <v>0</v>
      </c>
      <c r="N249" s="5">
        <v>242</v>
      </c>
      <c r="O249" s="1">
        <v>0</v>
      </c>
      <c r="P249" s="5">
        <v>0</v>
      </c>
    </row>
    <row r="250" spans="1:16">
      <c r="A250" s="1" t="s">
        <v>258</v>
      </c>
      <c r="B250" s="1" t="s">
        <v>167</v>
      </c>
      <c r="C250" s="1">
        <v>1991</v>
      </c>
      <c r="D250" s="1" t="s">
        <v>1710</v>
      </c>
      <c r="E250" s="17">
        <v>33490</v>
      </c>
      <c r="F250" s="18" t="str">
        <f t="shared" si="3"/>
        <v>PEPE1991_Septiembre</v>
      </c>
      <c r="G250" s="2" t="s">
        <v>1420</v>
      </c>
      <c r="H250" s="3">
        <v>3.838888888888889</v>
      </c>
      <c r="I250" s="3">
        <v>-77.599999999999994</v>
      </c>
      <c r="J250" s="12">
        <v>30.5</v>
      </c>
      <c r="K250" s="12">
        <v>27.7</v>
      </c>
      <c r="L250" s="4">
        <v>290.1614775340546</v>
      </c>
      <c r="M250" s="5">
        <v>0</v>
      </c>
      <c r="N250" s="5">
        <v>333</v>
      </c>
      <c r="O250" s="1">
        <v>0</v>
      </c>
      <c r="P250" s="5">
        <v>33.336071830932461</v>
      </c>
    </row>
    <row r="251" spans="1:16">
      <c r="A251" s="1" t="s">
        <v>259</v>
      </c>
      <c r="B251" s="1" t="s">
        <v>167</v>
      </c>
      <c r="C251" s="1">
        <v>1991</v>
      </c>
      <c r="D251" s="1" t="s">
        <v>1710</v>
      </c>
      <c r="E251" s="17">
        <v>33490</v>
      </c>
      <c r="F251" s="18" t="str">
        <f t="shared" si="3"/>
        <v>PEPE1991_Septiembre</v>
      </c>
      <c r="G251" s="2" t="s">
        <v>1516</v>
      </c>
      <c r="H251" s="3">
        <v>3.8472222222222223</v>
      </c>
      <c r="I251" s="3">
        <v>-77.797222222222217</v>
      </c>
      <c r="J251" s="12">
        <v>31</v>
      </c>
      <c r="K251" s="12">
        <v>27.5</v>
      </c>
      <c r="L251" s="4">
        <v>72.382261441035368</v>
      </c>
      <c r="M251" s="5">
        <v>53</v>
      </c>
      <c r="N251" s="5">
        <v>136</v>
      </c>
      <c r="O251" s="5">
        <v>0</v>
      </c>
      <c r="P251" s="5">
        <v>7.5393363516982435</v>
      </c>
    </row>
    <row r="252" spans="1:16">
      <c r="A252" s="1" t="s">
        <v>260</v>
      </c>
      <c r="B252" s="1" t="s">
        <v>167</v>
      </c>
      <c r="C252" s="1">
        <v>1991</v>
      </c>
      <c r="D252" s="1" t="s">
        <v>1710</v>
      </c>
      <c r="E252" s="17">
        <v>33490</v>
      </c>
      <c r="F252" s="18" t="str">
        <f t="shared" si="3"/>
        <v>PEPE1991_Septiembre</v>
      </c>
      <c r="G252" s="2" t="s">
        <v>1422</v>
      </c>
      <c r="H252" s="3">
        <v>3.8194444444444442</v>
      </c>
      <c r="I252" s="3">
        <v>-77.280555555555551</v>
      </c>
      <c r="J252" s="12">
        <v>27.2</v>
      </c>
      <c r="K252" s="12">
        <v>28.2</v>
      </c>
      <c r="L252" s="4">
        <v>433.49511256780647</v>
      </c>
      <c r="M252" s="5">
        <v>1</v>
      </c>
      <c r="N252" s="5">
        <v>23</v>
      </c>
      <c r="O252" s="5">
        <v>1</v>
      </c>
      <c r="P252" s="5">
        <v>7.6584136553645816</v>
      </c>
    </row>
    <row r="253" spans="1:16">
      <c r="A253" s="1" t="s">
        <v>261</v>
      </c>
      <c r="B253" s="1" t="s">
        <v>167</v>
      </c>
      <c r="C253" s="1">
        <v>1991</v>
      </c>
      <c r="D253" s="1" t="s">
        <v>1710</v>
      </c>
      <c r="E253" s="17">
        <v>33491</v>
      </c>
      <c r="F253" s="18" t="str">
        <f t="shared" si="3"/>
        <v>PEPE1991_Septiembre</v>
      </c>
      <c r="G253" s="2" t="s">
        <v>1423</v>
      </c>
      <c r="H253" s="3">
        <v>3.6749999999999998</v>
      </c>
      <c r="I253" s="3">
        <v>-77.288888888888891</v>
      </c>
      <c r="J253" s="12">
        <v>26</v>
      </c>
      <c r="K253" s="12">
        <v>27.5</v>
      </c>
      <c r="L253" s="4">
        <v>319.22368266484642</v>
      </c>
      <c r="M253" s="5">
        <v>220</v>
      </c>
      <c r="N253" s="5">
        <v>507</v>
      </c>
      <c r="O253" s="5">
        <v>2</v>
      </c>
      <c r="P253" s="5">
        <v>349</v>
      </c>
    </row>
    <row r="254" spans="1:16">
      <c r="A254" s="1" t="s">
        <v>262</v>
      </c>
      <c r="B254" s="1" t="s">
        <v>167</v>
      </c>
      <c r="C254" s="1">
        <v>1991</v>
      </c>
      <c r="D254" s="1" t="s">
        <v>1710</v>
      </c>
      <c r="E254" s="17">
        <v>33491</v>
      </c>
      <c r="F254" s="18" t="str">
        <f t="shared" si="3"/>
        <v>PEPE1991_Septiembre</v>
      </c>
      <c r="G254" s="2" t="s">
        <v>1424</v>
      </c>
      <c r="H254" s="3">
        <v>3.6777777777777776</v>
      </c>
      <c r="I254" s="3">
        <v>-77.380555555555546</v>
      </c>
      <c r="J254" s="12">
        <v>27</v>
      </c>
      <c r="K254" s="12">
        <v>27</v>
      </c>
      <c r="L254" s="4">
        <v>406.39647937393318</v>
      </c>
      <c r="M254" s="5">
        <v>0</v>
      </c>
      <c r="N254" s="5">
        <v>600</v>
      </c>
      <c r="O254" s="1">
        <v>0</v>
      </c>
      <c r="P254" s="5">
        <v>474.34597072525486</v>
      </c>
    </row>
    <row r="255" spans="1:16">
      <c r="A255" s="1" t="s">
        <v>263</v>
      </c>
      <c r="B255" s="1" t="s">
        <v>167</v>
      </c>
      <c r="C255" s="1">
        <v>1991</v>
      </c>
      <c r="D255" s="1" t="s">
        <v>1710</v>
      </c>
      <c r="E255" s="17">
        <v>33491</v>
      </c>
      <c r="F255" s="18" t="str">
        <f t="shared" si="3"/>
        <v>PEPE1991_Septiembre</v>
      </c>
      <c r="G255" s="2" t="s">
        <v>1425</v>
      </c>
      <c r="H255" s="3">
        <v>3.6861111111111109</v>
      </c>
      <c r="I255" s="3">
        <v>-77.536111111111111</v>
      </c>
      <c r="J255" s="12">
        <v>30.5</v>
      </c>
      <c r="K255" s="12">
        <v>27.3</v>
      </c>
      <c r="L255" s="4">
        <v>128.75894344183871</v>
      </c>
      <c r="M255" s="5">
        <v>1</v>
      </c>
      <c r="N255" s="5">
        <v>536</v>
      </c>
      <c r="O255" s="5">
        <v>0</v>
      </c>
      <c r="P255" s="5">
        <v>8.2883971306989306</v>
      </c>
    </row>
    <row r="256" spans="1:16">
      <c r="A256" s="1" t="s">
        <v>264</v>
      </c>
      <c r="B256" s="1" t="s">
        <v>167</v>
      </c>
      <c r="C256" s="1">
        <v>1991</v>
      </c>
      <c r="D256" s="1" t="s">
        <v>1710</v>
      </c>
      <c r="E256" s="17">
        <v>33491</v>
      </c>
      <c r="F256" s="18" t="str">
        <f t="shared" si="3"/>
        <v>PEPE1991_Septiembre</v>
      </c>
      <c r="G256" s="2" t="s">
        <v>1426</v>
      </c>
      <c r="H256" s="3">
        <v>3.6861111111111109</v>
      </c>
      <c r="I256" s="3">
        <v>-77.883333333333326</v>
      </c>
      <c r="J256" s="12">
        <v>31.5</v>
      </c>
      <c r="K256" s="12">
        <v>27.5</v>
      </c>
      <c r="L256" s="4">
        <v>117.02467531351115</v>
      </c>
      <c r="M256" s="5">
        <v>49</v>
      </c>
      <c r="N256" s="5">
        <v>824</v>
      </c>
      <c r="O256" s="5">
        <v>0</v>
      </c>
      <c r="P256" s="5">
        <v>0</v>
      </c>
    </row>
    <row r="257" spans="1:16">
      <c r="A257" s="1" t="s">
        <v>265</v>
      </c>
      <c r="B257" s="1" t="s">
        <v>167</v>
      </c>
      <c r="C257" s="1">
        <v>1991</v>
      </c>
      <c r="D257" s="1" t="s">
        <v>1710</v>
      </c>
      <c r="E257" s="17">
        <v>33491</v>
      </c>
      <c r="F257" s="18" t="str">
        <f t="shared" si="3"/>
        <v>PEPE1991_Septiembre</v>
      </c>
      <c r="G257" s="2" t="s">
        <v>1427</v>
      </c>
      <c r="H257" s="3">
        <v>3.5194444444444444</v>
      </c>
      <c r="I257" s="3">
        <v>-77.37222222222222</v>
      </c>
      <c r="J257" s="12">
        <v>25.2</v>
      </c>
      <c r="K257" s="12">
        <v>28.2</v>
      </c>
      <c r="L257" s="4">
        <v>163.28616111092296</v>
      </c>
      <c r="M257" s="5">
        <v>261</v>
      </c>
      <c r="N257" s="5">
        <v>45</v>
      </c>
      <c r="O257" s="5">
        <v>14</v>
      </c>
      <c r="P257" s="5">
        <v>31.125608030964131</v>
      </c>
    </row>
    <row r="258" spans="1:16">
      <c r="A258" s="1" t="s">
        <v>266</v>
      </c>
      <c r="B258" s="1" t="s">
        <v>167</v>
      </c>
      <c r="C258" s="1">
        <v>1991</v>
      </c>
      <c r="D258" s="1" t="s">
        <v>1710</v>
      </c>
      <c r="E258" s="17">
        <v>33491</v>
      </c>
      <c r="F258" s="18" t="str">
        <f t="shared" si="3"/>
        <v>PEPE1991_Septiembre</v>
      </c>
      <c r="G258" s="2" t="s">
        <v>1428</v>
      </c>
      <c r="H258" s="3">
        <v>3.5166666666666666</v>
      </c>
      <c r="I258" s="3">
        <v>-77.419444444444451</v>
      </c>
      <c r="J258" s="12">
        <v>27.3</v>
      </c>
      <c r="K258" s="12">
        <v>28.7</v>
      </c>
      <c r="L258" s="4">
        <v>289.15918239448882</v>
      </c>
      <c r="M258" s="5">
        <v>778</v>
      </c>
      <c r="N258" s="5">
        <v>866</v>
      </c>
      <c r="O258" s="5">
        <v>4</v>
      </c>
      <c r="P258" s="5">
        <v>176.15577391472263</v>
      </c>
    </row>
    <row r="259" spans="1:16">
      <c r="A259" s="1" t="s">
        <v>267</v>
      </c>
      <c r="B259" s="1" t="s">
        <v>167</v>
      </c>
      <c r="C259" s="1">
        <v>1991</v>
      </c>
      <c r="D259" s="1" t="s">
        <v>1710</v>
      </c>
      <c r="E259" s="17">
        <v>33491</v>
      </c>
      <c r="F259" s="18" t="str">
        <f t="shared" ref="F259:F322" si="4">"PEPE"&amp;C259&amp;"_"&amp;D259</f>
        <v>PEPE1991_Septiembre</v>
      </c>
      <c r="G259" s="2" t="s">
        <v>1429</v>
      </c>
      <c r="H259" s="3">
        <v>3.5111111111111111</v>
      </c>
      <c r="I259" s="3">
        <v>-77.527777777777771</v>
      </c>
      <c r="J259" s="12">
        <v>29</v>
      </c>
      <c r="K259" s="12">
        <v>28.5</v>
      </c>
      <c r="L259" s="4">
        <v>663.07999056267431</v>
      </c>
      <c r="M259" s="5">
        <v>0</v>
      </c>
      <c r="N259" s="5">
        <v>193</v>
      </c>
      <c r="O259" s="1">
        <v>0</v>
      </c>
      <c r="P259" s="5">
        <v>12.329671024517218</v>
      </c>
    </row>
    <row r="260" spans="1:16">
      <c r="A260" s="1" t="s">
        <v>268</v>
      </c>
      <c r="B260" s="1" t="s">
        <v>167</v>
      </c>
      <c r="C260" s="1">
        <v>1991</v>
      </c>
      <c r="D260" s="1" t="s">
        <v>1710</v>
      </c>
      <c r="E260" s="17">
        <v>33491</v>
      </c>
      <c r="F260" s="18" t="str">
        <f t="shared" si="4"/>
        <v>PEPE1991_Septiembre</v>
      </c>
      <c r="G260" s="2" t="s">
        <v>1430</v>
      </c>
      <c r="H260" s="3">
        <v>3.5083333333333333</v>
      </c>
      <c r="I260" s="3">
        <v>-77.677777777777777</v>
      </c>
      <c r="J260" s="12">
        <v>31</v>
      </c>
      <c r="K260" s="12">
        <v>27.5</v>
      </c>
      <c r="L260" s="4">
        <v>71.791931992571079</v>
      </c>
      <c r="M260" s="5">
        <v>25</v>
      </c>
      <c r="N260" s="5">
        <v>280</v>
      </c>
      <c r="O260" s="5">
        <v>0</v>
      </c>
      <c r="P260" s="5">
        <v>6.3638419716271937</v>
      </c>
    </row>
    <row r="261" spans="1:16">
      <c r="A261" s="1" t="s">
        <v>269</v>
      </c>
      <c r="B261" s="1" t="s">
        <v>167</v>
      </c>
      <c r="C261" s="1">
        <v>1991</v>
      </c>
      <c r="D261" s="1" t="s">
        <v>1710</v>
      </c>
      <c r="E261" s="17">
        <v>33491</v>
      </c>
      <c r="F261" s="18" t="str">
        <f t="shared" si="4"/>
        <v>PEPE1991_Septiembre</v>
      </c>
      <c r="G261" s="2" t="s">
        <v>1431</v>
      </c>
      <c r="H261" s="3">
        <v>3.5027777777777778</v>
      </c>
      <c r="I261" s="3">
        <v>-77.955555555555563</v>
      </c>
      <c r="J261" s="12">
        <v>33</v>
      </c>
      <c r="K261" s="12">
        <v>28</v>
      </c>
      <c r="L261" s="4">
        <v>68.88</v>
      </c>
      <c r="M261" s="5">
        <v>197</v>
      </c>
      <c r="N261" s="5">
        <v>281</v>
      </c>
      <c r="O261" s="5">
        <v>0</v>
      </c>
      <c r="P261" s="5">
        <v>0</v>
      </c>
    </row>
    <row r="262" spans="1:16">
      <c r="A262" s="1" t="s">
        <v>270</v>
      </c>
      <c r="B262" s="1" t="s">
        <v>167</v>
      </c>
      <c r="C262" s="1">
        <v>1991</v>
      </c>
      <c r="D262" s="1" t="s">
        <v>1710</v>
      </c>
      <c r="E262" s="17">
        <v>33491</v>
      </c>
      <c r="F262" s="18" t="str">
        <f t="shared" si="4"/>
        <v>PEPE1991_Septiembre</v>
      </c>
      <c r="G262" s="2" t="s">
        <v>1432</v>
      </c>
      <c r="H262" s="3">
        <v>3.3527777777777779</v>
      </c>
      <c r="I262" s="3">
        <v>-77.49444444444444</v>
      </c>
      <c r="J262" s="12">
        <v>19</v>
      </c>
      <c r="K262" s="12">
        <v>27.5</v>
      </c>
      <c r="L262" s="4">
        <v>437.91364194990962</v>
      </c>
      <c r="M262" s="5">
        <v>20</v>
      </c>
      <c r="N262" s="5">
        <v>148</v>
      </c>
      <c r="O262" s="5">
        <v>0</v>
      </c>
      <c r="P262" s="5">
        <v>63.600074993136595</v>
      </c>
    </row>
    <row r="263" spans="1:16">
      <c r="A263" s="1" t="s">
        <v>271</v>
      </c>
      <c r="B263" s="1" t="s">
        <v>167</v>
      </c>
      <c r="C263" s="1">
        <v>1991</v>
      </c>
      <c r="D263" s="1" t="s">
        <v>1710</v>
      </c>
      <c r="E263" s="17">
        <v>33491</v>
      </c>
      <c r="F263" s="18" t="str">
        <f t="shared" si="4"/>
        <v>PEPE1991_Septiembre</v>
      </c>
      <c r="G263" s="2" t="s">
        <v>1433</v>
      </c>
      <c r="H263" s="3">
        <v>3.3527777777777779</v>
      </c>
      <c r="I263" s="3">
        <v>-77.538888888888891</v>
      </c>
      <c r="J263" s="12">
        <v>31</v>
      </c>
      <c r="K263" s="12">
        <v>27.7</v>
      </c>
      <c r="L263" s="4">
        <v>255.97912542793179</v>
      </c>
      <c r="M263" s="5">
        <v>1292</v>
      </c>
      <c r="N263" s="5">
        <v>154</v>
      </c>
      <c r="O263" s="5">
        <v>18</v>
      </c>
      <c r="P263" s="5">
        <v>6.0354189350896803</v>
      </c>
    </row>
    <row r="264" spans="1:16">
      <c r="A264" s="1" t="s">
        <v>272</v>
      </c>
      <c r="B264" s="1" t="s">
        <v>167</v>
      </c>
      <c r="C264" s="1">
        <v>1991</v>
      </c>
      <c r="D264" s="1" t="s">
        <v>1710</v>
      </c>
      <c r="E264" s="17">
        <v>33491</v>
      </c>
      <c r="F264" s="18" t="str">
        <f t="shared" si="4"/>
        <v>PEPE1991_Septiembre</v>
      </c>
      <c r="G264" s="2" t="s">
        <v>1434</v>
      </c>
      <c r="H264" s="3">
        <v>3.3416666666666663</v>
      </c>
      <c r="I264" s="3">
        <v>-77.647222222222226</v>
      </c>
      <c r="J264" s="12">
        <v>31</v>
      </c>
      <c r="K264" s="12">
        <v>27.5</v>
      </c>
      <c r="L264" s="4">
        <v>501.36589201373312</v>
      </c>
      <c r="M264" s="5">
        <v>0</v>
      </c>
      <c r="N264" s="5">
        <v>252</v>
      </c>
      <c r="O264" s="1">
        <v>0</v>
      </c>
      <c r="P264" s="5">
        <v>50.423083996809737</v>
      </c>
    </row>
    <row r="265" spans="1:16">
      <c r="A265" s="1" t="s">
        <v>273</v>
      </c>
      <c r="B265" s="1" t="s">
        <v>167</v>
      </c>
      <c r="C265" s="1">
        <v>1991</v>
      </c>
      <c r="D265" s="1" t="s">
        <v>1710</v>
      </c>
      <c r="E265" s="17">
        <v>33491</v>
      </c>
      <c r="F265" s="18" t="str">
        <f t="shared" si="4"/>
        <v>PEPE1991_Septiembre</v>
      </c>
      <c r="G265" s="2" t="s">
        <v>1435</v>
      </c>
      <c r="H265" s="3">
        <v>3.3361111111111112</v>
      </c>
      <c r="I265" s="3">
        <v>-77.788888888888891</v>
      </c>
      <c r="J265" s="12">
        <v>32</v>
      </c>
      <c r="K265" s="12">
        <v>27.5</v>
      </c>
      <c r="L265" s="4">
        <v>85.08262215396401</v>
      </c>
      <c r="M265" s="5">
        <v>101</v>
      </c>
      <c r="N265" s="5">
        <v>292</v>
      </c>
      <c r="O265" s="5">
        <v>0</v>
      </c>
      <c r="P265" s="5">
        <v>0</v>
      </c>
    </row>
    <row r="266" spans="1:16">
      <c r="A266" s="1" t="s">
        <v>274</v>
      </c>
      <c r="B266" s="1" t="s">
        <v>167</v>
      </c>
      <c r="C266" s="1">
        <v>1991</v>
      </c>
      <c r="D266" s="1" t="s">
        <v>1710</v>
      </c>
      <c r="E266" s="17">
        <v>33491</v>
      </c>
      <c r="F266" s="18" t="str">
        <f t="shared" si="4"/>
        <v>PEPE1991_Septiembre</v>
      </c>
      <c r="G266" s="2" t="s">
        <v>1517</v>
      </c>
      <c r="H266" s="3">
        <v>3.35</v>
      </c>
      <c r="I266" s="3">
        <v>-78.025000000000006</v>
      </c>
      <c r="J266" s="12">
        <v>33</v>
      </c>
      <c r="K266" s="12">
        <v>27.2</v>
      </c>
      <c r="L266" s="4">
        <v>96.278161145027667</v>
      </c>
      <c r="M266" s="5">
        <v>74</v>
      </c>
      <c r="N266" s="5">
        <v>235</v>
      </c>
      <c r="O266" s="5">
        <v>0</v>
      </c>
      <c r="P266" s="5">
        <v>0</v>
      </c>
    </row>
    <row r="267" spans="1:16">
      <c r="A267" s="1" t="s">
        <v>275</v>
      </c>
      <c r="B267" s="1" t="s">
        <v>167</v>
      </c>
      <c r="C267" s="1">
        <v>1991</v>
      </c>
      <c r="D267" s="1" t="s">
        <v>1710</v>
      </c>
      <c r="E267" s="17">
        <v>33491</v>
      </c>
      <c r="F267" s="18" t="str">
        <f t="shared" si="4"/>
        <v>PEPE1991_Septiembre</v>
      </c>
      <c r="G267" s="2" t="s">
        <v>1437</v>
      </c>
      <c r="H267" s="3">
        <v>3.1722222222222221</v>
      </c>
      <c r="I267" s="3">
        <v>-77.594444444444434</v>
      </c>
      <c r="J267" s="12">
        <v>23</v>
      </c>
      <c r="K267" s="12">
        <v>29</v>
      </c>
      <c r="L267" s="4">
        <v>189.49225801187234</v>
      </c>
      <c r="M267" s="5">
        <v>29</v>
      </c>
      <c r="N267" s="5">
        <v>32</v>
      </c>
      <c r="O267" s="5">
        <v>15</v>
      </c>
      <c r="P267" s="5">
        <v>29.967063651029537</v>
      </c>
    </row>
    <row r="268" spans="1:16">
      <c r="A268" s="1" t="s">
        <v>276</v>
      </c>
      <c r="B268" s="1" t="s">
        <v>167</v>
      </c>
      <c r="C268" s="1">
        <v>1991</v>
      </c>
      <c r="D268" s="1" t="s">
        <v>1710</v>
      </c>
      <c r="E268" s="17">
        <v>33491</v>
      </c>
      <c r="F268" s="18" t="str">
        <f t="shared" si="4"/>
        <v>PEPE1991_Septiembre</v>
      </c>
      <c r="G268" s="2" t="s">
        <v>1438</v>
      </c>
      <c r="H268" s="3">
        <v>3.1749999999999998</v>
      </c>
      <c r="I268" s="3">
        <v>-77.652777777777786</v>
      </c>
      <c r="J268" s="12">
        <v>31</v>
      </c>
      <c r="K268" s="12">
        <v>28</v>
      </c>
      <c r="L268" s="4">
        <v>301.6018928714488</v>
      </c>
      <c r="M268" s="5">
        <v>10</v>
      </c>
      <c r="N268" s="5">
        <v>69</v>
      </c>
      <c r="O268" s="5">
        <v>4</v>
      </c>
      <c r="P268" s="5">
        <v>0</v>
      </c>
    </row>
    <row r="269" spans="1:16">
      <c r="A269" s="1" t="s">
        <v>277</v>
      </c>
      <c r="B269" s="1" t="s">
        <v>167</v>
      </c>
      <c r="C269" s="1">
        <v>1991</v>
      </c>
      <c r="D269" s="1" t="s">
        <v>1710</v>
      </c>
      <c r="E269" s="17">
        <v>33491</v>
      </c>
      <c r="F269" s="18" t="str">
        <f t="shared" si="4"/>
        <v>PEPE1991_Septiembre</v>
      </c>
      <c r="G269" s="2" t="s">
        <v>1439</v>
      </c>
      <c r="H269" s="3">
        <v>3.1861111111111109</v>
      </c>
      <c r="I269" s="3">
        <v>-77.74722222222222</v>
      </c>
      <c r="J269" s="12">
        <v>32</v>
      </c>
      <c r="K269" s="12">
        <v>28</v>
      </c>
      <c r="L269" s="4">
        <v>178.26503274509028</v>
      </c>
      <c r="M269" s="5">
        <v>27</v>
      </c>
      <c r="N269" s="5">
        <v>978</v>
      </c>
      <c r="O269" s="5">
        <v>11</v>
      </c>
      <c r="P269" s="5">
        <v>22.924883211018606</v>
      </c>
    </row>
    <row r="270" spans="1:16">
      <c r="A270" s="1" t="s">
        <v>278</v>
      </c>
      <c r="B270" s="1" t="s">
        <v>167</v>
      </c>
      <c r="C270" s="1">
        <v>1991</v>
      </c>
      <c r="D270" s="1" t="s">
        <v>1710</v>
      </c>
      <c r="E270" s="17">
        <v>33491</v>
      </c>
      <c r="F270" s="18" t="str">
        <f t="shared" si="4"/>
        <v>PEPE1991_Septiembre</v>
      </c>
      <c r="G270" s="2" t="s">
        <v>1440</v>
      </c>
      <c r="H270" s="3">
        <v>3.1888888888888887</v>
      </c>
      <c r="I270" s="3">
        <v>-77.88333333333334</v>
      </c>
      <c r="J270" s="12">
        <v>32.299999999999997</v>
      </c>
      <c r="K270" s="12">
        <v>27.8</v>
      </c>
      <c r="L270" s="4">
        <v>106.27604606473291</v>
      </c>
      <c r="M270" s="5">
        <v>0</v>
      </c>
      <c r="N270" s="5">
        <v>173</v>
      </c>
      <c r="O270" s="1">
        <v>0</v>
      </c>
      <c r="P270" s="5">
        <v>4.3136266252718816</v>
      </c>
    </row>
    <row r="271" spans="1:16">
      <c r="A271" s="1" t="s">
        <v>279</v>
      </c>
      <c r="B271" s="1" t="s">
        <v>167</v>
      </c>
      <c r="C271" s="1">
        <v>1991</v>
      </c>
      <c r="D271" s="1" t="s">
        <v>1710</v>
      </c>
      <c r="E271" s="17">
        <v>33491</v>
      </c>
      <c r="F271" s="18" t="str">
        <f t="shared" si="4"/>
        <v>PEPE1991_Septiembre</v>
      </c>
      <c r="G271" s="2" t="s">
        <v>1518</v>
      </c>
      <c r="H271" s="3">
        <v>3.1805555555555554</v>
      </c>
      <c r="I271" s="3">
        <v>-77.069444444444443</v>
      </c>
      <c r="J271" s="12">
        <v>32.200000000000003</v>
      </c>
      <c r="K271" s="12">
        <v>27.5</v>
      </c>
      <c r="L271" s="4">
        <v>62.542497783600204</v>
      </c>
      <c r="M271" s="5">
        <v>311</v>
      </c>
      <c r="N271" s="5">
        <v>536</v>
      </c>
      <c r="O271" s="5">
        <v>0</v>
      </c>
      <c r="P271" s="5">
        <v>0</v>
      </c>
    </row>
    <row r="272" spans="1:16">
      <c r="A272" s="1" t="s">
        <v>280</v>
      </c>
      <c r="B272" s="1" t="s">
        <v>167</v>
      </c>
      <c r="C272" s="1">
        <v>1991</v>
      </c>
      <c r="D272" s="1" t="s">
        <v>1710</v>
      </c>
      <c r="E272" s="17">
        <v>33491</v>
      </c>
      <c r="F272" s="18" t="str">
        <f t="shared" si="4"/>
        <v>PEPE1991_Septiembre</v>
      </c>
      <c r="G272" s="2" t="s">
        <v>1442</v>
      </c>
      <c r="H272" s="3">
        <v>3.0027777777777778</v>
      </c>
      <c r="I272" s="3">
        <v>-77.741666666666674</v>
      </c>
      <c r="J272" s="12">
        <v>30.5</v>
      </c>
      <c r="K272" s="12">
        <v>27.5</v>
      </c>
      <c r="L272" s="4">
        <v>144.26996735315484</v>
      </c>
      <c r="M272" s="5">
        <v>648</v>
      </c>
      <c r="N272" s="5">
        <v>11</v>
      </c>
      <c r="O272" s="13">
        <v>113</v>
      </c>
      <c r="P272" s="13">
        <v>4.0741838780530921</v>
      </c>
    </row>
    <row r="273" spans="1:16">
      <c r="A273" s="1" t="s">
        <v>281</v>
      </c>
      <c r="B273" s="1" t="s">
        <v>167</v>
      </c>
      <c r="C273" s="1">
        <v>1991</v>
      </c>
      <c r="D273" s="1" t="s">
        <v>1710</v>
      </c>
      <c r="E273" s="17">
        <v>33491</v>
      </c>
      <c r="F273" s="18" t="str">
        <f t="shared" si="4"/>
        <v>PEPE1991_Septiembre</v>
      </c>
      <c r="G273" s="2" t="s">
        <v>1443</v>
      </c>
      <c r="H273" s="3">
        <v>3.0055555555555555</v>
      </c>
      <c r="I273" s="3">
        <v>-77.802777777777777</v>
      </c>
      <c r="J273" s="12">
        <v>31</v>
      </c>
      <c r="K273" s="12">
        <v>27.2</v>
      </c>
      <c r="L273" s="4">
        <v>305.42126508312532</v>
      </c>
      <c r="M273" s="5">
        <v>37</v>
      </c>
      <c r="N273" s="5">
        <v>62</v>
      </c>
      <c r="O273" s="13">
        <v>20</v>
      </c>
      <c r="P273" s="13">
        <v>6.6108432827242467</v>
      </c>
    </row>
    <row r="274" spans="1:16">
      <c r="A274" s="1" t="s">
        <v>282</v>
      </c>
      <c r="B274" s="1" t="s">
        <v>167</v>
      </c>
      <c r="C274" s="1">
        <v>1991</v>
      </c>
      <c r="D274" s="1" t="s">
        <v>1710</v>
      </c>
      <c r="E274" s="17">
        <v>33491</v>
      </c>
      <c r="F274" s="18" t="str">
        <f t="shared" si="4"/>
        <v>PEPE1991_Septiembre</v>
      </c>
      <c r="G274" s="2" t="s">
        <v>1444</v>
      </c>
      <c r="H274" s="3">
        <v>3.0083333333333333</v>
      </c>
      <c r="I274" s="3">
        <v>-77.886111111111106</v>
      </c>
      <c r="J274" s="12">
        <v>32</v>
      </c>
      <c r="K274" s="12">
        <v>27.5</v>
      </c>
      <c r="L274" s="4">
        <v>117.14822895062925</v>
      </c>
      <c r="M274" s="5">
        <v>5</v>
      </c>
      <c r="N274" s="5">
        <v>44</v>
      </c>
      <c r="O274" s="13">
        <v>0</v>
      </c>
      <c r="P274" s="13">
        <v>2.4649939841694906</v>
      </c>
    </row>
    <row r="275" spans="1:16">
      <c r="A275" s="1" t="s">
        <v>283</v>
      </c>
      <c r="B275" s="1" t="s">
        <v>167</v>
      </c>
      <c r="C275" s="1">
        <v>1991</v>
      </c>
      <c r="D275" s="1" t="s">
        <v>1710</v>
      </c>
      <c r="E275" s="17">
        <v>33491</v>
      </c>
      <c r="F275" s="18" t="str">
        <f t="shared" si="4"/>
        <v>PEPE1991_Septiembre</v>
      </c>
      <c r="G275" s="2" t="s">
        <v>1445</v>
      </c>
      <c r="H275" s="3">
        <v>3.0249999999999999</v>
      </c>
      <c r="I275" s="3">
        <v>-78.038888888888891</v>
      </c>
      <c r="J275" s="12">
        <v>32</v>
      </c>
      <c r="K275" s="12">
        <v>27.2</v>
      </c>
      <c r="L275" s="4">
        <v>89.365473559321657</v>
      </c>
      <c r="M275" s="5">
        <v>28</v>
      </c>
      <c r="N275" s="5">
        <v>171</v>
      </c>
      <c r="O275" s="13">
        <v>0</v>
      </c>
      <c r="P275" s="13">
        <v>0</v>
      </c>
    </row>
    <row r="276" spans="1:16">
      <c r="A276" s="1" t="s">
        <v>284</v>
      </c>
      <c r="B276" s="1" t="s">
        <v>167</v>
      </c>
      <c r="C276" s="1">
        <v>1991</v>
      </c>
      <c r="D276" s="1" t="s">
        <v>1710</v>
      </c>
      <c r="E276" s="17">
        <v>33491</v>
      </c>
      <c r="F276" s="18" t="str">
        <f t="shared" si="4"/>
        <v>PEPE1991_Septiembre</v>
      </c>
      <c r="G276" s="2" t="s">
        <v>1446</v>
      </c>
      <c r="H276" s="3">
        <v>3</v>
      </c>
      <c r="I276" s="3">
        <v>-78.380555555555546</v>
      </c>
      <c r="J276" s="12">
        <v>32</v>
      </c>
      <c r="K276" s="12">
        <v>27.5</v>
      </c>
      <c r="L276" s="4">
        <v>80.581970808683451</v>
      </c>
      <c r="M276" s="5">
        <v>86</v>
      </c>
      <c r="N276" s="5">
        <v>147</v>
      </c>
      <c r="O276" s="13">
        <v>0</v>
      </c>
      <c r="P276" s="13">
        <v>0</v>
      </c>
    </row>
    <row r="277" spans="1:16">
      <c r="A277" s="1" t="s">
        <v>285</v>
      </c>
      <c r="B277" s="1" t="s">
        <v>167</v>
      </c>
      <c r="C277" s="1">
        <v>1991</v>
      </c>
      <c r="D277" s="1" t="s">
        <v>1710</v>
      </c>
      <c r="E277" s="17">
        <v>33491</v>
      </c>
      <c r="F277" s="18" t="str">
        <f t="shared" si="4"/>
        <v>PEPE1991_Septiembre</v>
      </c>
      <c r="G277" s="2" t="s">
        <v>1519</v>
      </c>
      <c r="H277" s="3">
        <v>2.8444444444444446</v>
      </c>
      <c r="I277" s="3">
        <v>-77.830555555555549</v>
      </c>
      <c r="J277" s="12">
        <v>31.8</v>
      </c>
      <c r="K277" s="12">
        <v>29.2</v>
      </c>
      <c r="L277" s="4">
        <v>597.33000000000004</v>
      </c>
      <c r="M277" s="5">
        <v>49</v>
      </c>
      <c r="N277" s="5">
        <v>18</v>
      </c>
      <c r="O277" s="13">
        <v>3.7896920177996436</v>
      </c>
      <c r="P277" s="13">
        <v>2.5264613451997624</v>
      </c>
    </row>
    <row r="278" spans="1:16">
      <c r="A278" s="1" t="s">
        <v>286</v>
      </c>
      <c r="B278" s="1" t="s">
        <v>167</v>
      </c>
      <c r="C278" s="1">
        <v>1991</v>
      </c>
      <c r="D278" s="1" t="s">
        <v>1710</v>
      </c>
      <c r="E278" s="17">
        <v>33491</v>
      </c>
      <c r="F278" s="18" t="str">
        <f t="shared" si="4"/>
        <v>PEPE1991_Septiembre</v>
      </c>
      <c r="G278" s="2" t="s">
        <v>1447</v>
      </c>
      <c r="H278" s="3">
        <v>2.8444444444444446</v>
      </c>
      <c r="I278" s="3">
        <v>-77.858333333333334</v>
      </c>
      <c r="J278" s="12">
        <v>32.299999999999997</v>
      </c>
      <c r="K278" s="12">
        <v>29</v>
      </c>
      <c r="L278" s="4">
        <v>520.93843625944396</v>
      </c>
      <c r="M278" s="5">
        <v>156</v>
      </c>
      <c r="N278" s="5">
        <v>184</v>
      </c>
      <c r="O278" s="13">
        <v>81.804295279029532</v>
      </c>
      <c r="P278" s="13">
        <v>183.65866293037021</v>
      </c>
    </row>
    <row r="279" spans="1:16">
      <c r="A279" s="1" t="s">
        <v>287</v>
      </c>
      <c r="B279" s="1" t="s">
        <v>167</v>
      </c>
      <c r="C279" s="1">
        <v>1991</v>
      </c>
      <c r="D279" s="1" t="s">
        <v>1710</v>
      </c>
      <c r="E279" s="17">
        <v>33491</v>
      </c>
      <c r="F279" s="18" t="str">
        <f t="shared" si="4"/>
        <v>PEPE1991_Septiembre</v>
      </c>
      <c r="G279" s="2" t="s">
        <v>1448</v>
      </c>
      <c r="H279" s="3">
        <v>2.8361111111111112</v>
      </c>
      <c r="I279" s="3">
        <v>-77.922222222222231</v>
      </c>
      <c r="J279" s="12">
        <v>30.5</v>
      </c>
      <c r="K279" s="12">
        <v>29</v>
      </c>
      <c r="L279" s="4">
        <v>119.18376578475454</v>
      </c>
      <c r="M279" s="5">
        <v>5</v>
      </c>
      <c r="N279" s="5">
        <v>96</v>
      </c>
      <c r="O279" s="13">
        <v>0</v>
      </c>
      <c r="P279" s="13">
        <v>0</v>
      </c>
    </row>
    <row r="280" spans="1:16">
      <c r="A280" s="1" t="s">
        <v>288</v>
      </c>
      <c r="B280" s="1" t="s">
        <v>167</v>
      </c>
      <c r="C280" s="1">
        <v>1991</v>
      </c>
      <c r="D280" s="1" t="s">
        <v>1710</v>
      </c>
      <c r="E280" s="17">
        <v>33491</v>
      </c>
      <c r="F280" s="18" t="str">
        <f t="shared" si="4"/>
        <v>PEPE1991_Septiembre</v>
      </c>
      <c r="G280" s="2" t="s">
        <v>1449</v>
      </c>
      <c r="H280" s="3">
        <v>2.838888888888889</v>
      </c>
      <c r="I280" s="3">
        <v>-78.086111111111109</v>
      </c>
      <c r="J280" s="12">
        <v>32.5</v>
      </c>
      <c r="K280" s="12">
        <v>28</v>
      </c>
      <c r="L280" s="4">
        <v>113.61774082359848</v>
      </c>
      <c r="M280" s="5">
        <v>67</v>
      </c>
      <c r="N280" s="5">
        <v>326</v>
      </c>
      <c r="O280" s="13">
        <v>0</v>
      </c>
      <c r="P280" s="13">
        <v>0</v>
      </c>
    </row>
    <row r="281" spans="1:16">
      <c r="A281" s="1" t="s">
        <v>289</v>
      </c>
      <c r="B281" s="1" t="s">
        <v>167</v>
      </c>
      <c r="C281" s="1">
        <v>1991</v>
      </c>
      <c r="D281" s="1" t="s">
        <v>1710</v>
      </c>
      <c r="E281" s="17">
        <v>33491</v>
      </c>
      <c r="F281" s="18" t="str">
        <f t="shared" si="4"/>
        <v>PEPE1991_Septiembre</v>
      </c>
      <c r="G281" s="2" t="s">
        <v>1520</v>
      </c>
      <c r="H281" s="3">
        <v>2.8472222222222223</v>
      </c>
      <c r="I281" s="3">
        <v>-78.422222222222231</v>
      </c>
      <c r="J281" s="12">
        <v>31</v>
      </c>
      <c r="K281" s="12">
        <v>27.2</v>
      </c>
      <c r="L281" s="4">
        <v>103.89302341668771</v>
      </c>
      <c r="M281" s="5">
        <v>98</v>
      </c>
      <c r="N281" s="5">
        <v>281</v>
      </c>
      <c r="O281" s="13">
        <v>0</v>
      </c>
      <c r="P281" s="13">
        <v>0</v>
      </c>
    </row>
    <row r="282" spans="1:16">
      <c r="A282" s="1" t="s">
        <v>290</v>
      </c>
      <c r="B282" s="1" t="s">
        <v>167</v>
      </c>
      <c r="C282" s="1">
        <v>1991</v>
      </c>
      <c r="D282" s="1" t="s">
        <v>1710</v>
      </c>
      <c r="E282" s="17">
        <v>33491</v>
      </c>
      <c r="F282" s="18" t="str">
        <f t="shared" si="4"/>
        <v>PEPE1991_Septiembre</v>
      </c>
      <c r="G282" s="2" t="s">
        <v>1521</v>
      </c>
      <c r="H282" s="3">
        <v>2.7027777777777779</v>
      </c>
      <c r="I282" s="3">
        <v>-78.211111111111109</v>
      </c>
      <c r="J282" s="12">
        <v>32</v>
      </c>
      <c r="K282" s="12">
        <v>27.5</v>
      </c>
      <c r="L282" s="4">
        <v>360.98782849324738</v>
      </c>
      <c r="M282" s="5">
        <v>48</v>
      </c>
      <c r="N282" s="5">
        <v>4</v>
      </c>
      <c r="O282" s="13">
        <v>25</v>
      </c>
      <c r="P282" s="13">
        <v>1.6172254716497483</v>
      </c>
    </row>
    <row r="283" spans="1:16">
      <c r="A283" s="1" t="s">
        <v>291</v>
      </c>
      <c r="B283" s="1" t="s">
        <v>167</v>
      </c>
      <c r="C283" s="1">
        <v>1991</v>
      </c>
      <c r="D283" s="1" t="s">
        <v>1710</v>
      </c>
      <c r="E283" s="17">
        <v>33491</v>
      </c>
      <c r="F283" s="18" t="str">
        <f t="shared" si="4"/>
        <v>PEPE1991_Septiembre</v>
      </c>
      <c r="G283" s="2" t="s">
        <v>1522</v>
      </c>
      <c r="H283" s="3">
        <v>2.6833333333333331</v>
      </c>
      <c r="I283" s="3">
        <v>-78.527777777777771</v>
      </c>
      <c r="J283" s="12">
        <v>31.8</v>
      </c>
      <c r="K283" s="12">
        <v>27.3</v>
      </c>
      <c r="L283" s="4">
        <v>162.18173791872482</v>
      </c>
      <c r="M283" s="5">
        <v>84</v>
      </c>
      <c r="N283" s="5">
        <v>191</v>
      </c>
      <c r="O283" s="13">
        <v>0</v>
      </c>
      <c r="P283" s="13">
        <v>16.218173791872481</v>
      </c>
    </row>
    <row r="284" spans="1:16">
      <c r="A284" s="1" t="s">
        <v>292</v>
      </c>
      <c r="B284" s="1" t="s">
        <v>167</v>
      </c>
      <c r="C284" s="1">
        <v>1991</v>
      </c>
      <c r="D284" s="1" t="s">
        <v>1710</v>
      </c>
      <c r="E284" s="17">
        <v>33491</v>
      </c>
      <c r="F284" s="18" t="str">
        <f t="shared" si="4"/>
        <v>PEPE1991_Septiembre</v>
      </c>
      <c r="G284" s="2" t="s">
        <v>1453</v>
      </c>
      <c r="H284" s="3">
        <v>2.6861111111111109</v>
      </c>
      <c r="I284" s="3">
        <v>-78.61944444444444</v>
      </c>
      <c r="J284" s="12">
        <v>32.6</v>
      </c>
      <c r="K284" s="12">
        <v>27</v>
      </c>
      <c r="L284" s="4">
        <v>101.85106550504221</v>
      </c>
      <c r="M284" s="5">
        <v>61</v>
      </c>
      <c r="N284" s="5">
        <v>354</v>
      </c>
      <c r="O284" s="13">
        <v>0</v>
      </c>
      <c r="P284" s="13">
        <v>0</v>
      </c>
    </row>
    <row r="285" spans="1:16">
      <c r="A285" s="1" t="s">
        <v>293</v>
      </c>
      <c r="B285" s="1" t="s">
        <v>167</v>
      </c>
      <c r="C285" s="1">
        <v>1991</v>
      </c>
      <c r="D285" s="1" t="s">
        <v>1710</v>
      </c>
      <c r="E285" s="17">
        <v>33491</v>
      </c>
      <c r="F285" s="18" t="str">
        <f t="shared" si="4"/>
        <v>PEPE1991_Septiembre</v>
      </c>
      <c r="G285" s="2" t="s">
        <v>1454</v>
      </c>
      <c r="H285" s="3">
        <v>2.6777777777777776</v>
      </c>
      <c r="I285" s="3">
        <v>-78.786111111111111</v>
      </c>
      <c r="J285" s="12">
        <v>33.11</v>
      </c>
      <c r="K285" s="12">
        <v>27.5</v>
      </c>
      <c r="L285" s="4">
        <v>159.01</v>
      </c>
      <c r="M285" s="5">
        <v>268</v>
      </c>
      <c r="N285" s="5">
        <v>580</v>
      </c>
      <c r="O285" s="13">
        <v>0</v>
      </c>
      <c r="P285" s="13">
        <v>31.228952448001152</v>
      </c>
    </row>
    <row r="286" spans="1:16">
      <c r="A286" s="1" t="s">
        <v>294</v>
      </c>
      <c r="B286" s="1" t="s">
        <v>167</v>
      </c>
      <c r="C286" s="1">
        <v>1991</v>
      </c>
      <c r="D286" s="1" t="s">
        <v>1710</v>
      </c>
      <c r="E286" s="17">
        <v>33491</v>
      </c>
      <c r="F286" s="18" t="str">
        <f t="shared" si="4"/>
        <v>PEPE1991_Septiembre</v>
      </c>
      <c r="G286" s="2" t="s">
        <v>1455</v>
      </c>
      <c r="H286" s="3">
        <v>2.6694444444444443</v>
      </c>
      <c r="I286" s="3">
        <v>-79.047222222222217</v>
      </c>
      <c r="J286" s="12">
        <v>32.5</v>
      </c>
      <c r="K286" s="12">
        <v>27.5</v>
      </c>
      <c r="L286" s="4">
        <v>115.69194630007409</v>
      </c>
      <c r="M286" s="5">
        <v>268</v>
      </c>
      <c r="N286" s="5">
        <v>1081</v>
      </c>
      <c r="O286" s="13">
        <v>0</v>
      </c>
      <c r="P286" s="13">
        <v>0</v>
      </c>
    </row>
    <row r="287" spans="1:16">
      <c r="A287" s="1" t="s">
        <v>295</v>
      </c>
      <c r="B287" s="1" t="s">
        <v>167</v>
      </c>
      <c r="C287" s="1">
        <v>1991</v>
      </c>
      <c r="D287" s="1" t="s">
        <v>1710</v>
      </c>
      <c r="E287" s="17">
        <v>33491</v>
      </c>
      <c r="F287" s="18" t="str">
        <f t="shared" si="4"/>
        <v>PEPE1991_Septiembre</v>
      </c>
      <c r="G287" s="2" t="s">
        <v>1456</v>
      </c>
      <c r="H287" s="3">
        <v>2.5027777777777778</v>
      </c>
      <c r="I287" s="3">
        <v>-78.572222222222223</v>
      </c>
      <c r="J287" s="12">
        <v>30.8</v>
      </c>
      <c r="K287" s="12">
        <v>29.1</v>
      </c>
      <c r="L287" s="4">
        <v>223.81131147999312</v>
      </c>
      <c r="M287" s="5">
        <v>39</v>
      </c>
      <c r="N287" s="5">
        <v>2</v>
      </c>
      <c r="O287" s="13">
        <v>2</v>
      </c>
      <c r="P287" s="13">
        <v>0</v>
      </c>
    </row>
    <row r="288" spans="1:16">
      <c r="A288" s="1" t="s">
        <v>296</v>
      </c>
      <c r="B288" s="1" t="s">
        <v>167</v>
      </c>
      <c r="C288" s="1">
        <v>1991</v>
      </c>
      <c r="D288" s="1" t="s">
        <v>1710</v>
      </c>
      <c r="E288" s="17">
        <v>33491</v>
      </c>
      <c r="F288" s="18" t="str">
        <f t="shared" si="4"/>
        <v>PEPE1991_Septiembre</v>
      </c>
      <c r="G288" s="2" t="s">
        <v>1457</v>
      </c>
      <c r="H288" s="3">
        <v>2.5</v>
      </c>
      <c r="I288" s="3">
        <v>-78.61666666666666</v>
      </c>
      <c r="J288" s="12">
        <v>31.9</v>
      </c>
      <c r="K288" s="12">
        <v>27.6</v>
      </c>
      <c r="L288" s="4">
        <v>105.66746917951225</v>
      </c>
      <c r="M288" s="5">
        <v>7</v>
      </c>
      <c r="N288" s="5">
        <v>331</v>
      </c>
      <c r="O288" s="13">
        <v>0</v>
      </c>
      <c r="P288" s="13">
        <v>14.892068656365929</v>
      </c>
    </row>
    <row r="289" spans="1:16">
      <c r="A289" s="1" t="s">
        <v>297</v>
      </c>
      <c r="B289" s="1" t="s">
        <v>167</v>
      </c>
      <c r="C289" s="1">
        <v>1991</v>
      </c>
      <c r="D289" s="1" t="s">
        <v>1710</v>
      </c>
      <c r="E289" s="17">
        <v>33491</v>
      </c>
      <c r="F289" s="18" t="str">
        <f t="shared" si="4"/>
        <v>PEPE1991_Septiembre</v>
      </c>
      <c r="G289" s="2" t="s">
        <v>1458</v>
      </c>
      <c r="H289" s="3">
        <v>2.5</v>
      </c>
      <c r="I289" s="3">
        <v>-78.7</v>
      </c>
      <c r="J289" s="12">
        <v>32.200000000000003</v>
      </c>
      <c r="K289" s="12">
        <v>27.3</v>
      </c>
      <c r="L289" s="4">
        <v>105.7332810063555</v>
      </c>
      <c r="M289" s="5">
        <v>124</v>
      </c>
      <c r="N289" s="5">
        <v>371</v>
      </c>
      <c r="O289" s="13">
        <v>0</v>
      </c>
      <c r="P289" s="13">
        <v>0</v>
      </c>
    </row>
    <row r="290" spans="1:16">
      <c r="A290" s="1" t="s">
        <v>298</v>
      </c>
      <c r="B290" s="1" t="s">
        <v>167</v>
      </c>
      <c r="C290" s="1">
        <v>1991</v>
      </c>
      <c r="D290" s="1" t="s">
        <v>1710</v>
      </c>
      <c r="E290" s="17">
        <v>33491</v>
      </c>
      <c r="F290" s="18" t="str">
        <f t="shared" si="4"/>
        <v>PEPE1991_Septiembre</v>
      </c>
      <c r="G290" s="2" t="s">
        <v>1459</v>
      </c>
      <c r="H290" s="3">
        <v>2.4833333333333334</v>
      </c>
      <c r="I290" s="3">
        <v>-78.86944444444444</v>
      </c>
      <c r="J290" s="12">
        <v>32.200000000000003</v>
      </c>
      <c r="K290" s="12">
        <v>27.1</v>
      </c>
      <c r="L290" s="4">
        <v>138.95056670644865</v>
      </c>
      <c r="M290" s="5">
        <v>831</v>
      </c>
      <c r="N290" s="5">
        <v>778</v>
      </c>
      <c r="O290" s="13">
        <v>0</v>
      </c>
      <c r="P290" s="13">
        <v>0</v>
      </c>
    </row>
    <row r="291" spans="1:16">
      <c r="A291" s="1" t="s">
        <v>299</v>
      </c>
      <c r="B291" s="1" t="s">
        <v>167</v>
      </c>
      <c r="C291" s="1">
        <v>1991</v>
      </c>
      <c r="D291" s="1" t="s">
        <v>1710</v>
      </c>
      <c r="E291" s="17">
        <v>33491</v>
      </c>
      <c r="F291" s="18" t="str">
        <f t="shared" si="4"/>
        <v>PEPE1991_Septiembre</v>
      </c>
      <c r="G291" s="2" t="s">
        <v>1460</v>
      </c>
      <c r="H291" s="3">
        <v>2.5055555555555555</v>
      </c>
      <c r="I291" s="3">
        <v>-78.988888888888894</v>
      </c>
      <c r="J291" s="12">
        <v>32.200000000000003</v>
      </c>
      <c r="K291" s="12">
        <v>27</v>
      </c>
      <c r="L291" s="4">
        <v>151.18262435634128</v>
      </c>
      <c r="M291" s="5">
        <v>106</v>
      </c>
      <c r="N291" s="5">
        <v>1190</v>
      </c>
      <c r="O291" s="13">
        <v>0</v>
      </c>
      <c r="P291" s="13">
        <v>0</v>
      </c>
    </row>
    <row r="292" spans="1:16">
      <c r="A292" s="1" t="s">
        <v>300</v>
      </c>
      <c r="B292" s="1" t="s">
        <v>167</v>
      </c>
      <c r="C292" s="1">
        <v>1991</v>
      </c>
      <c r="D292" s="1" t="s">
        <v>1710</v>
      </c>
      <c r="E292" s="17">
        <v>33491</v>
      </c>
      <c r="F292" s="18" t="str">
        <f t="shared" si="4"/>
        <v>PEPE1991_Septiembre</v>
      </c>
      <c r="G292" s="2" t="s">
        <v>1461</v>
      </c>
      <c r="H292" s="3">
        <v>2.3472222222222223</v>
      </c>
      <c r="I292" s="3">
        <v>-78.658333333333346</v>
      </c>
      <c r="J292" s="12">
        <v>32.1</v>
      </c>
      <c r="K292" s="12">
        <v>27.1</v>
      </c>
      <c r="L292" s="4">
        <v>139.66814125395263</v>
      </c>
      <c r="M292" s="5">
        <v>97</v>
      </c>
      <c r="N292" s="5">
        <v>14</v>
      </c>
      <c r="O292" s="13">
        <v>3</v>
      </c>
      <c r="P292" s="13">
        <v>11.236936819068008</v>
      </c>
    </row>
    <row r="293" spans="1:16">
      <c r="A293" s="1" t="s">
        <v>301</v>
      </c>
      <c r="B293" s="1" t="s">
        <v>167</v>
      </c>
      <c r="C293" s="1">
        <v>1991</v>
      </c>
      <c r="D293" s="1" t="s">
        <v>1710</v>
      </c>
      <c r="E293" s="17">
        <v>33491</v>
      </c>
      <c r="F293" s="18" t="str">
        <f t="shared" si="4"/>
        <v>PEPE1991_Septiembre</v>
      </c>
      <c r="G293" s="2" t="s">
        <v>1462</v>
      </c>
      <c r="H293" s="3">
        <v>2.3361111111111112</v>
      </c>
      <c r="I293" s="3">
        <v>-78.725000000000009</v>
      </c>
      <c r="J293" s="12">
        <v>32.4</v>
      </c>
      <c r="K293" s="12">
        <v>27.5</v>
      </c>
      <c r="L293" s="4">
        <v>366.47759386979993</v>
      </c>
      <c r="M293" s="5">
        <v>33</v>
      </c>
      <c r="N293" s="5">
        <v>384</v>
      </c>
      <c r="O293" s="13">
        <v>0</v>
      </c>
      <c r="P293" s="13">
        <v>141.97341986516051</v>
      </c>
    </row>
    <row r="294" spans="1:16">
      <c r="A294" s="1" t="s">
        <v>302</v>
      </c>
      <c r="B294" s="1" t="s">
        <v>167</v>
      </c>
      <c r="C294" s="1">
        <v>1991</v>
      </c>
      <c r="D294" s="1" t="s">
        <v>1710</v>
      </c>
      <c r="E294" s="17">
        <v>33491</v>
      </c>
      <c r="F294" s="18" t="str">
        <f t="shared" si="4"/>
        <v>PEPE1991_Septiembre</v>
      </c>
      <c r="G294" s="2" t="s">
        <v>1463</v>
      </c>
      <c r="H294" s="3">
        <v>2.3333333333333335</v>
      </c>
      <c r="I294" s="3">
        <v>-78.805555555555557</v>
      </c>
      <c r="J294" s="12">
        <v>32.1</v>
      </c>
      <c r="K294" s="12">
        <v>27.2</v>
      </c>
      <c r="L294" s="4">
        <v>117.50093852699639</v>
      </c>
      <c r="M294" s="5">
        <v>121</v>
      </c>
      <c r="N294" s="5">
        <v>612</v>
      </c>
      <c r="O294" s="13">
        <v>0</v>
      </c>
      <c r="P294" s="13">
        <v>7.1212096577277979</v>
      </c>
    </row>
    <row r="295" spans="1:16">
      <c r="A295" s="1" t="s">
        <v>303</v>
      </c>
      <c r="B295" s="1" t="s">
        <v>167</v>
      </c>
      <c r="C295" s="1">
        <v>1991</v>
      </c>
      <c r="D295" s="1" t="s">
        <v>1710</v>
      </c>
      <c r="E295" s="17">
        <v>33491</v>
      </c>
      <c r="F295" s="18" t="str">
        <f t="shared" si="4"/>
        <v>PEPE1991_Septiembre</v>
      </c>
      <c r="G295" s="2" t="s">
        <v>1464</v>
      </c>
      <c r="H295" s="3">
        <v>2.3361111111111112</v>
      </c>
      <c r="I295" s="3">
        <v>-78.969444444444449</v>
      </c>
      <c r="J295" s="12">
        <v>32.200000000000003</v>
      </c>
      <c r="K295" s="12">
        <v>27.2</v>
      </c>
      <c r="L295" s="4">
        <v>103.95508218267527</v>
      </c>
      <c r="M295" s="5">
        <v>3</v>
      </c>
      <c r="N295" s="5">
        <v>145</v>
      </c>
      <c r="O295" s="13">
        <v>0</v>
      </c>
      <c r="P295" s="13">
        <v>0</v>
      </c>
    </row>
    <row r="296" spans="1:16">
      <c r="A296" s="1" t="s">
        <v>304</v>
      </c>
      <c r="B296" s="1" t="s">
        <v>167</v>
      </c>
      <c r="C296" s="1">
        <v>1991</v>
      </c>
      <c r="D296" s="1" t="s">
        <v>1710</v>
      </c>
      <c r="E296" s="17">
        <v>33491</v>
      </c>
      <c r="F296" s="18" t="str">
        <f t="shared" si="4"/>
        <v>PEPE1991_Septiembre</v>
      </c>
      <c r="G296" s="2" t="s">
        <v>1523</v>
      </c>
      <c r="H296" s="3">
        <v>2.3361111111111112</v>
      </c>
      <c r="I296" s="3">
        <v>-79.136111111111106</v>
      </c>
      <c r="J296" s="12">
        <v>32.5</v>
      </c>
      <c r="K296" s="12">
        <v>27.1</v>
      </c>
      <c r="L296" s="4">
        <v>111.11461670319169</v>
      </c>
      <c r="M296" s="5">
        <v>45</v>
      </c>
      <c r="N296" s="5">
        <v>172</v>
      </c>
      <c r="O296" s="13">
        <v>0</v>
      </c>
      <c r="P296" s="13">
        <v>0</v>
      </c>
    </row>
    <row r="297" spans="1:16">
      <c r="A297" s="1" t="s">
        <v>305</v>
      </c>
      <c r="B297" s="1" t="s">
        <v>167</v>
      </c>
      <c r="C297" s="1">
        <v>1991</v>
      </c>
      <c r="D297" s="1" t="s">
        <v>1710</v>
      </c>
      <c r="E297" s="17">
        <v>33493</v>
      </c>
      <c r="F297" s="18" t="str">
        <f t="shared" si="4"/>
        <v>PEPE1991_Septiembre</v>
      </c>
      <c r="G297" s="2" t="s">
        <v>1466</v>
      </c>
      <c r="H297" s="3">
        <v>2.1722222222222221</v>
      </c>
      <c r="I297" s="3">
        <v>-78.727777777777774</v>
      </c>
      <c r="J297" s="12">
        <v>32</v>
      </c>
      <c r="K297" s="12">
        <v>27.3</v>
      </c>
      <c r="L297" s="4">
        <v>564.52964878892112</v>
      </c>
      <c r="M297" s="5">
        <v>0</v>
      </c>
      <c r="N297" s="5">
        <v>6</v>
      </c>
      <c r="O297" s="1">
        <v>0</v>
      </c>
      <c r="P297" s="13">
        <v>4.6630148989964884</v>
      </c>
    </row>
    <row r="298" spans="1:16">
      <c r="A298" s="1" t="s">
        <v>306</v>
      </c>
      <c r="B298" s="1" t="s">
        <v>167</v>
      </c>
      <c r="C298" s="1">
        <v>1991</v>
      </c>
      <c r="D298" s="1" t="s">
        <v>1710</v>
      </c>
      <c r="E298" s="17">
        <v>33493</v>
      </c>
      <c r="F298" s="18" t="str">
        <f t="shared" si="4"/>
        <v>PEPE1991_Septiembre</v>
      </c>
      <c r="G298" s="2" t="s">
        <v>1467</v>
      </c>
      <c r="H298" s="3">
        <v>2.1749999999999998</v>
      </c>
      <c r="I298" s="3">
        <v>-78.827777777777769</v>
      </c>
      <c r="J298" s="12">
        <v>32</v>
      </c>
      <c r="K298" s="12">
        <v>27.5</v>
      </c>
      <c r="L298" s="4">
        <v>150.71498222993995</v>
      </c>
      <c r="M298" s="5">
        <v>23</v>
      </c>
      <c r="N298" s="5">
        <v>422</v>
      </c>
      <c r="O298" s="13">
        <v>0</v>
      </c>
      <c r="P298" s="13">
        <v>17.322175290961098</v>
      </c>
    </row>
    <row r="299" spans="1:16">
      <c r="A299" s="1" t="s">
        <v>307</v>
      </c>
      <c r="B299" s="1" t="s">
        <v>167</v>
      </c>
      <c r="C299" s="1">
        <v>1991</v>
      </c>
      <c r="D299" s="1" t="s">
        <v>1710</v>
      </c>
      <c r="E299" s="17">
        <v>33493</v>
      </c>
      <c r="F299" s="18" t="str">
        <f t="shared" si="4"/>
        <v>PEPE1991_Septiembre</v>
      </c>
      <c r="G299" s="2" t="s">
        <v>1468</v>
      </c>
      <c r="H299" s="3">
        <v>2.1694444444444443</v>
      </c>
      <c r="I299" s="3">
        <v>-78.925000000000011</v>
      </c>
      <c r="J299" s="12">
        <v>32</v>
      </c>
      <c r="K299" s="12">
        <v>27.2</v>
      </c>
      <c r="L299" s="4">
        <v>96.796927857206441</v>
      </c>
      <c r="M299" s="5">
        <v>19</v>
      </c>
      <c r="N299" s="5">
        <v>295</v>
      </c>
      <c r="O299" s="13">
        <v>0</v>
      </c>
      <c r="P299" s="13">
        <v>4.8345225618281757</v>
      </c>
    </row>
    <row r="300" spans="1:16">
      <c r="A300" s="1" t="s">
        <v>308</v>
      </c>
      <c r="B300" s="1" t="s">
        <v>167</v>
      </c>
      <c r="C300" s="1">
        <v>1991</v>
      </c>
      <c r="D300" s="1" t="s">
        <v>1710</v>
      </c>
      <c r="E300" s="17">
        <v>33491</v>
      </c>
      <c r="F300" s="18" t="str">
        <f t="shared" si="4"/>
        <v>PEPE1991_Septiembre</v>
      </c>
      <c r="G300" s="2" t="s">
        <v>1469</v>
      </c>
      <c r="H300" s="3">
        <v>2.1749999999999998</v>
      </c>
      <c r="I300" s="3">
        <v>-79.069444444444443</v>
      </c>
      <c r="J300" s="12">
        <v>32.200000000000003</v>
      </c>
      <c r="K300" s="12">
        <v>27.1</v>
      </c>
      <c r="L300" s="4">
        <v>116.8193307210864</v>
      </c>
      <c r="M300" s="5">
        <v>40</v>
      </c>
      <c r="N300" s="5">
        <v>627</v>
      </c>
      <c r="O300" s="13">
        <v>0</v>
      </c>
      <c r="P300" s="13">
        <v>16.958662240780114</v>
      </c>
    </row>
    <row r="301" spans="1:16">
      <c r="A301" s="1" t="s">
        <v>309</v>
      </c>
      <c r="B301" s="1" t="s">
        <v>167</v>
      </c>
      <c r="C301" s="1">
        <v>1991</v>
      </c>
      <c r="D301" s="1" t="s">
        <v>1710</v>
      </c>
      <c r="E301" s="17">
        <v>33491</v>
      </c>
      <c r="F301" s="18" t="str">
        <f t="shared" si="4"/>
        <v>PEPE1991_Septiembre</v>
      </c>
      <c r="G301" s="2" t="s">
        <v>1524</v>
      </c>
      <c r="H301" s="3">
        <v>2.1749999999999998</v>
      </c>
      <c r="I301" s="3">
        <v>-79.238888888888894</v>
      </c>
      <c r="J301" s="12">
        <v>32.5</v>
      </c>
      <c r="K301" s="12">
        <v>27</v>
      </c>
      <c r="L301" s="4">
        <v>230.76605494903131</v>
      </c>
      <c r="M301" s="5">
        <v>41</v>
      </c>
      <c r="N301" s="5">
        <v>871</v>
      </c>
      <c r="O301" s="13">
        <v>0</v>
      </c>
      <c r="P301" s="13">
        <v>0</v>
      </c>
    </row>
    <row r="302" spans="1:16">
      <c r="A302" s="1" t="s">
        <v>310</v>
      </c>
      <c r="B302" s="1" t="s">
        <v>167</v>
      </c>
      <c r="C302" s="1">
        <v>1991</v>
      </c>
      <c r="D302" s="1" t="s">
        <v>1710</v>
      </c>
      <c r="E302" s="17">
        <v>33493</v>
      </c>
      <c r="F302" s="18" t="str">
        <f t="shared" si="4"/>
        <v>PEPE1991_Septiembre</v>
      </c>
      <c r="G302" s="2" t="s">
        <v>1471</v>
      </c>
      <c r="H302" s="3">
        <v>2</v>
      </c>
      <c r="I302" s="3">
        <v>-78.702777777777783</v>
      </c>
      <c r="J302" s="12">
        <v>31.7</v>
      </c>
      <c r="K302" s="12">
        <v>27.6</v>
      </c>
      <c r="L302" s="4">
        <v>243.90467490073675</v>
      </c>
      <c r="M302" s="5">
        <v>901</v>
      </c>
      <c r="N302" s="5">
        <v>54</v>
      </c>
      <c r="O302" s="13">
        <v>44</v>
      </c>
      <c r="P302" s="13">
        <v>37.717932410176033</v>
      </c>
    </row>
    <row r="303" spans="1:16">
      <c r="A303" s="1" t="s">
        <v>311</v>
      </c>
      <c r="B303" s="1" t="s">
        <v>167</v>
      </c>
      <c r="C303" s="1">
        <v>1991</v>
      </c>
      <c r="D303" s="1" t="s">
        <v>1710</v>
      </c>
      <c r="E303" s="17">
        <v>33493</v>
      </c>
      <c r="F303" s="18" t="str">
        <f t="shared" si="4"/>
        <v>PEPE1991_Septiembre</v>
      </c>
      <c r="G303" s="2" t="s">
        <v>1472</v>
      </c>
      <c r="H303" s="3">
        <v>2.0083333333333333</v>
      </c>
      <c r="I303" s="3">
        <v>-78.772222222222226</v>
      </c>
      <c r="J303" s="12">
        <v>32.200000000000003</v>
      </c>
      <c r="K303" s="12">
        <v>27.3</v>
      </c>
      <c r="L303" s="4">
        <v>279.24229950457175</v>
      </c>
      <c r="M303" s="5">
        <v>32</v>
      </c>
      <c r="N303" s="5">
        <v>515</v>
      </c>
      <c r="O303" s="13">
        <v>0</v>
      </c>
      <c r="P303" s="13">
        <v>288.81332932009093</v>
      </c>
    </row>
    <row r="304" spans="1:16">
      <c r="A304" s="1" t="s">
        <v>312</v>
      </c>
      <c r="B304" s="1" t="s">
        <v>167</v>
      </c>
      <c r="C304" s="1">
        <v>1991</v>
      </c>
      <c r="D304" s="1" t="s">
        <v>1710</v>
      </c>
      <c r="E304" s="17">
        <v>33494</v>
      </c>
      <c r="F304" s="18" t="str">
        <f t="shared" si="4"/>
        <v>PEPE1991_Septiembre</v>
      </c>
      <c r="G304" s="2" t="s">
        <v>1473</v>
      </c>
      <c r="H304" s="3">
        <v>2.0111111111111111</v>
      </c>
      <c r="I304" s="3">
        <v>-78.841666666666669</v>
      </c>
      <c r="J304" s="12">
        <v>32</v>
      </c>
      <c r="K304" s="12">
        <v>27.1</v>
      </c>
      <c r="L304" s="4">
        <v>214.52571799124078</v>
      </c>
      <c r="M304" s="5">
        <v>20</v>
      </c>
      <c r="N304" s="5">
        <v>394</v>
      </c>
      <c r="O304" s="13">
        <v>0</v>
      </c>
      <c r="P304" s="13">
        <v>39.39035423467967</v>
      </c>
    </row>
    <row r="305" spans="1:16">
      <c r="A305" s="1" t="s">
        <v>313</v>
      </c>
      <c r="B305" s="1" t="s">
        <v>167</v>
      </c>
      <c r="C305" s="1">
        <v>1991</v>
      </c>
      <c r="D305" s="1" t="s">
        <v>1710</v>
      </c>
      <c r="E305" s="17">
        <v>33494</v>
      </c>
      <c r="F305" s="18" t="str">
        <f t="shared" si="4"/>
        <v>PEPE1991_Septiembre</v>
      </c>
      <c r="G305" s="2" t="s">
        <v>1474</v>
      </c>
      <c r="H305" s="3">
        <v>2.0027777777777778</v>
      </c>
      <c r="I305" s="3">
        <v>-79.00277777777778</v>
      </c>
      <c r="J305" s="12">
        <v>32.5</v>
      </c>
      <c r="K305" s="12">
        <v>27</v>
      </c>
      <c r="L305" s="4">
        <v>210.74901429753092</v>
      </c>
      <c r="M305" s="5">
        <v>212</v>
      </c>
      <c r="N305" s="5">
        <v>784</v>
      </c>
      <c r="O305" s="13">
        <v>0</v>
      </c>
      <c r="P305" s="13">
        <v>29.481445444510165</v>
      </c>
    </row>
    <row r="306" spans="1:16">
      <c r="A306" s="1" t="s">
        <v>314</v>
      </c>
      <c r="B306" s="1" t="s">
        <v>167</v>
      </c>
      <c r="C306" s="1">
        <v>1991</v>
      </c>
      <c r="D306" s="1" t="s">
        <v>1710</v>
      </c>
      <c r="E306" s="17">
        <v>33494</v>
      </c>
      <c r="F306" s="18" t="str">
        <f t="shared" si="4"/>
        <v>PEPE1991_Septiembre</v>
      </c>
      <c r="G306" s="2" t="s">
        <v>1477</v>
      </c>
      <c r="H306" s="3">
        <v>1.8361111111111112</v>
      </c>
      <c r="I306" s="3">
        <v>-78.833333333333329</v>
      </c>
      <c r="J306" s="12">
        <v>31.5</v>
      </c>
      <c r="K306" s="12">
        <v>27.2</v>
      </c>
      <c r="L306" s="4">
        <v>177.28211777757349</v>
      </c>
      <c r="M306" s="5">
        <v>153</v>
      </c>
      <c r="N306" s="5">
        <v>5</v>
      </c>
      <c r="O306" s="13">
        <v>6</v>
      </c>
      <c r="P306" s="13">
        <v>0</v>
      </c>
    </row>
    <row r="307" spans="1:16">
      <c r="A307" s="1" t="s">
        <v>315</v>
      </c>
      <c r="B307" s="1" t="s">
        <v>167</v>
      </c>
      <c r="C307" s="1">
        <v>1991</v>
      </c>
      <c r="D307" s="1" t="s">
        <v>1710</v>
      </c>
      <c r="E307" s="17">
        <v>33494</v>
      </c>
      <c r="F307" s="18" t="str">
        <f t="shared" si="4"/>
        <v>PEPE1991_Septiembre</v>
      </c>
      <c r="G307" s="2" t="s">
        <v>1478</v>
      </c>
      <c r="H307" s="3">
        <v>1.8361111111111112</v>
      </c>
      <c r="I307" s="3">
        <v>-78.916666666666671</v>
      </c>
      <c r="J307" s="12">
        <v>32</v>
      </c>
      <c r="K307" s="12">
        <v>27.1</v>
      </c>
      <c r="L307" s="4">
        <v>282.00810811487679</v>
      </c>
      <c r="M307" s="5">
        <v>7</v>
      </c>
      <c r="N307" s="5">
        <v>740</v>
      </c>
      <c r="O307" s="13">
        <v>0</v>
      </c>
      <c r="P307" s="13">
        <v>278.44775574992644</v>
      </c>
    </row>
    <row r="308" spans="1:16">
      <c r="A308" s="1" t="s">
        <v>316</v>
      </c>
      <c r="B308" s="1" t="s">
        <v>167</v>
      </c>
      <c r="C308" s="1">
        <v>1991</v>
      </c>
      <c r="D308" s="1" t="s">
        <v>1710</v>
      </c>
      <c r="E308" s="17">
        <v>33494</v>
      </c>
      <c r="F308" s="18" t="str">
        <f t="shared" si="4"/>
        <v>PEPE1991_Septiembre</v>
      </c>
      <c r="G308" s="2" t="s">
        <v>1525</v>
      </c>
      <c r="H308" s="3">
        <v>1.8361111111111112</v>
      </c>
      <c r="I308" s="3">
        <v>-78.988888888888894</v>
      </c>
      <c r="J308" s="12">
        <v>32.200000000000003</v>
      </c>
      <c r="K308" s="12">
        <v>27.1</v>
      </c>
      <c r="L308" s="4">
        <v>78.849141671220409</v>
      </c>
      <c r="M308" s="5">
        <v>79</v>
      </c>
      <c r="N308" s="5">
        <v>563</v>
      </c>
      <c r="O308" s="13">
        <v>0</v>
      </c>
      <c r="P308" s="13">
        <v>51.796001163824684</v>
      </c>
    </row>
    <row r="309" spans="1:16">
      <c r="A309" s="1" t="s">
        <v>317</v>
      </c>
      <c r="B309" s="1" t="s">
        <v>167</v>
      </c>
      <c r="C309" s="1">
        <v>1991</v>
      </c>
      <c r="D309" s="1" t="s">
        <v>1710</v>
      </c>
      <c r="E309" s="17">
        <v>33494</v>
      </c>
      <c r="F309" s="18" t="str">
        <f t="shared" si="4"/>
        <v>PEPE1991_Septiembre</v>
      </c>
      <c r="G309" s="2" t="s">
        <v>1526</v>
      </c>
      <c r="H309" s="3">
        <v>1.838888888888889</v>
      </c>
      <c r="I309" s="3">
        <v>-79.186111111111117</v>
      </c>
      <c r="J309" s="12">
        <v>32.5</v>
      </c>
      <c r="K309" s="12">
        <v>27</v>
      </c>
      <c r="L309" s="4">
        <v>243.20044592684417</v>
      </c>
      <c r="M309" s="5">
        <v>52</v>
      </c>
      <c r="N309" s="5">
        <v>1462</v>
      </c>
      <c r="O309" s="13">
        <v>0</v>
      </c>
      <c r="P309" s="13">
        <v>6.498697406060848</v>
      </c>
    </row>
    <row r="310" spans="1:16">
      <c r="A310" s="1" t="s">
        <v>318</v>
      </c>
      <c r="B310" s="1" t="s">
        <v>167</v>
      </c>
      <c r="C310" s="1">
        <v>1991</v>
      </c>
      <c r="D310" s="1" t="s">
        <v>1710</v>
      </c>
      <c r="E310" s="17">
        <v>33494</v>
      </c>
      <c r="F310" s="18" t="str">
        <f t="shared" si="4"/>
        <v>PEPE1991_Septiembre</v>
      </c>
      <c r="G310" s="2" t="s">
        <v>1482</v>
      </c>
      <c r="H310" s="3">
        <v>1.6722222222222221</v>
      </c>
      <c r="I310" s="3">
        <v>-79.022222222222226</v>
      </c>
      <c r="J310" s="12">
        <v>26.2</v>
      </c>
      <c r="K310" s="12">
        <v>27</v>
      </c>
      <c r="L310" s="4">
        <v>125.50668025772147</v>
      </c>
      <c r="M310" s="5">
        <v>91</v>
      </c>
      <c r="N310" s="5">
        <v>370</v>
      </c>
      <c r="O310" s="13">
        <v>36.512403420576327</v>
      </c>
      <c r="P310" s="13">
        <v>52.16057631510904</v>
      </c>
    </row>
    <row r="311" spans="1:16">
      <c r="A311" s="1" t="s">
        <v>319</v>
      </c>
      <c r="B311" s="1" t="s">
        <v>167</v>
      </c>
      <c r="C311" s="1">
        <v>1991</v>
      </c>
      <c r="D311" s="1" t="s">
        <v>1710</v>
      </c>
      <c r="E311" s="17">
        <v>33494</v>
      </c>
      <c r="F311" s="18" t="str">
        <f t="shared" si="4"/>
        <v>PEPE1991_Septiembre</v>
      </c>
      <c r="G311" s="2" t="s">
        <v>1483</v>
      </c>
      <c r="H311" s="3">
        <v>1.6722222222222221</v>
      </c>
      <c r="I311" s="3">
        <v>-79.102777777777774</v>
      </c>
      <c r="J311" s="12">
        <v>31.9</v>
      </c>
      <c r="K311" s="12">
        <v>27.1</v>
      </c>
      <c r="L311" s="4">
        <v>257.86835466365329</v>
      </c>
      <c r="M311" s="5">
        <v>25</v>
      </c>
      <c r="N311" s="5">
        <v>560</v>
      </c>
      <c r="O311" s="13">
        <v>0</v>
      </c>
      <c r="P311" s="13">
        <v>112.0625081976761</v>
      </c>
    </row>
    <row r="312" spans="1:16">
      <c r="A312" s="1" t="s">
        <v>320</v>
      </c>
      <c r="B312" s="1" t="s">
        <v>167</v>
      </c>
      <c r="C312" s="1">
        <v>1991</v>
      </c>
      <c r="D312" s="1" t="s">
        <v>1710</v>
      </c>
      <c r="E312" s="17">
        <v>33494</v>
      </c>
      <c r="F312" s="18" t="str">
        <f t="shared" si="4"/>
        <v>PEPE1991_Septiembre</v>
      </c>
      <c r="G312" s="2" t="s">
        <v>1484</v>
      </c>
      <c r="H312" s="3">
        <v>1.6805555555555554</v>
      </c>
      <c r="I312" s="3">
        <v>-79.166666666666671</v>
      </c>
      <c r="J312" s="12">
        <v>32</v>
      </c>
      <c r="K312" s="12">
        <v>27</v>
      </c>
      <c r="L312" s="4">
        <v>169.41635828573575</v>
      </c>
      <c r="M312" s="5">
        <v>29</v>
      </c>
      <c r="N312" s="5">
        <v>807</v>
      </c>
      <c r="O312" s="13">
        <v>0</v>
      </c>
      <c r="P312" s="13">
        <v>0</v>
      </c>
    </row>
    <row r="313" spans="1:16">
      <c r="A313" s="1" t="s">
        <v>321</v>
      </c>
      <c r="B313" s="1" t="s">
        <v>167</v>
      </c>
      <c r="C313" s="1">
        <v>1991</v>
      </c>
      <c r="D313" s="1" t="s">
        <v>1710</v>
      </c>
      <c r="E313" s="17">
        <v>33494</v>
      </c>
      <c r="F313" s="18" t="str">
        <f t="shared" si="4"/>
        <v>PEPE1991_Septiembre</v>
      </c>
      <c r="G313" s="2" t="s">
        <v>1485</v>
      </c>
      <c r="H313" s="3">
        <v>1.6722222222222221</v>
      </c>
      <c r="I313" s="3">
        <v>-79.341666666666669</v>
      </c>
      <c r="J313" s="12">
        <v>32.1</v>
      </c>
      <c r="K313" s="12">
        <v>27</v>
      </c>
      <c r="L313" s="4">
        <v>229.02886512304298</v>
      </c>
      <c r="M313" s="5">
        <v>25</v>
      </c>
      <c r="N313" s="5">
        <v>488</v>
      </c>
      <c r="O313" s="13">
        <v>0</v>
      </c>
      <c r="P313" s="13">
        <v>0</v>
      </c>
    </row>
    <row r="314" spans="1:16">
      <c r="A314" s="1" t="s">
        <v>322</v>
      </c>
      <c r="B314" s="1" t="s">
        <v>167</v>
      </c>
      <c r="C314" s="1">
        <v>1991</v>
      </c>
      <c r="D314" s="1" t="s">
        <v>1710</v>
      </c>
      <c r="E314" s="17">
        <v>33494</v>
      </c>
      <c r="F314" s="18" t="str">
        <f t="shared" si="4"/>
        <v>PEPE1991_Septiembre</v>
      </c>
      <c r="G314" s="2" t="s">
        <v>1527</v>
      </c>
      <c r="H314" s="3">
        <v>1.6694444444444443</v>
      </c>
      <c r="I314" s="3">
        <v>-79.677777777777777</v>
      </c>
      <c r="J314" s="12">
        <v>32.799999999999997</v>
      </c>
      <c r="K314" s="12">
        <v>26.6</v>
      </c>
      <c r="L314" s="4">
        <v>300.10846412071203</v>
      </c>
      <c r="M314" s="5">
        <v>53</v>
      </c>
      <c r="N314" s="5">
        <v>534</v>
      </c>
      <c r="O314" s="13">
        <v>0</v>
      </c>
      <c r="P314" s="13">
        <v>26.702984229762912</v>
      </c>
    </row>
    <row r="315" spans="1:16">
      <c r="A315" s="1" t="s">
        <v>323</v>
      </c>
      <c r="B315" s="1" t="s">
        <v>167</v>
      </c>
      <c r="C315" s="1">
        <v>1991</v>
      </c>
      <c r="D315" s="1" t="s">
        <v>1710</v>
      </c>
      <c r="E315" s="17">
        <v>33494</v>
      </c>
      <c r="F315" s="18" t="str">
        <f t="shared" si="4"/>
        <v>PEPE1991_Septiembre</v>
      </c>
      <c r="G315" s="2" t="s">
        <v>1528</v>
      </c>
      <c r="H315" s="3">
        <v>1.5111111111111111</v>
      </c>
      <c r="I315" s="3">
        <v>-78.952777777777783</v>
      </c>
      <c r="J315" s="12">
        <v>29.8</v>
      </c>
      <c r="K315" s="12">
        <v>27.5</v>
      </c>
      <c r="L315" s="4">
        <v>47.623756138996711</v>
      </c>
      <c r="M315" s="5">
        <v>452</v>
      </c>
      <c r="N315" s="5">
        <v>1</v>
      </c>
      <c r="O315" s="13">
        <v>185</v>
      </c>
      <c r="P315" s="13">
        <v>1.2001186547027169</v>
      </c>
    </row>
    <row r="316" spans="1:16">
      <c r="A316" s="1" t="s">
        <v>324</v>
      </c>
      <c r="B316" s="1" t="s">
        <v>167</v>
      </c>
      <c r="C316" s="1">
        <v>1991</v>
      </c>
      <c r="D316" s="1" t="s">
        <v>1710</v>
      </c>
      <c r="E316" s="17">
        <v>33494</v>
      </c>
      <c r="F316" s="18" t="str">
        <f t="shared" si="4"/>
        <v>PEPE1991_Septiembre</v>
      </c>
      <c r="G316" s="2" t="s">
        <v>1487</v>
      </c>
      <c r="H316" s="3">
        <v>1.5</v>
      </c>
      <c r="I316" s="3">
        <v>-79.011111111111106</v>
      </c>
      <c r="J316" s="12">
        <v>30.5</v>
      </c>
      <c r="K316" s="12">
        <v>27</v>
      </c>
      <c r="L316" s="4">
        <v>236.49470074641201</v>
      </c>
      <c r="M316" s="5">
        <v>39</v>
      </c>
      <c r="N316" s="5">
        <v>452</v>
      </c>
      <c r="O316" s="13">
        <v>8.8846329176412056</v>
      </c>
      <c r="P316" s="13">
        <v>137.71181022343868</v>
      </c>
    </row>
    <row r="317" spans="1:16">
      <c r="A317" s="1" t="s">
        <v>325</v>
      </c>
      <c r="B317" s="1" t="s">
        <v>167</v>
      </c>
      <c r="C317" s="1">
        <v>1991</v>
      </c>
      <c r="D317" s="1" t="s">
        <v>1710</v>
      </c>
      <c r="E317" s="17">
        <v>33494</v>
      </c>
      <c r="F317" s="18" t="str">
        <f t="shared" si="4"/>
        <v>PEPE1991_Septiembre</v>
      </c>
      <c r="G317" s="2" t="s">
        <v>1529</v>
      </c>
      <c r="H317" s="3">
        <v>1.5083333333333333</v>
      </c>
      <c r="I317" s="3">
        <v>-79.105555555555554</v>
      </c>
      <c r="J317" s="12">
        <v>32</v>
      </c>
      <c r="K317" s="12">
        <v>27.1</v>
      </c>
      <c r="L317" s="4">
        <v>146.17806363556898</v>
      </c>
      <c r="M317" s="5">
        <v>138</v>
      </c>
      <c r="N317" s="5">
        <v>1170</v>
      </c>
      <c r="O317" s="13">
        <v>0</v>
      </c>
      <c r="P317" s="13">
        <v>105.64800282165292</v>
      </c>
    </row>
    <row r="318" spans="1:16">
      <c r="A318" s="1" t="s">
        <v>326</v>
      </c>
      <c r="B318" s="1" t="s">
        <v>167</v>
      </c>
      <c r="C318" s="1">
        <v>1991</v>
      </c>
      <c r="D318" s="1" t="s">
        <v>1710</v>
      </c>
      <c r="E318" s="17">
        <v>33494</v>
      </c>
      <c r="F318" s="18" t="str">
        <f t="shared" si="4"/>
        <v>PEPE1991_Septiembre</v>
      </c>
      <c r="G318" s="2" t="s">
        <v>1489</v>
      </c>
      <c r="H318" s="3">
        <v>1.5138888888888888</v>
      </c>
      <c r="I318" s="3">
        <v>-79.261111111111106</v>
      </c>
      <c r="J318" s="12">
        <v>32</v>
      </c>
      <c r="K318" s="12">
        <v>27.1</v>
      </c>
      <c r="L318" s="4">
        <v>96.633285509906869</v>
      </c>
      <c r="M318" s="5">
        <v>55</v>
      </c>
      <c r="N318" s="5">
        <v>369</v>
      </c>
      <c r="O318" s="13">
        <v>0</v>
      </c>
      <c r="P318" s="13">
        <v>0</v>
      </c>
    </row>
    <row r="319" spans="1:16">
      <c r="A319" s="1" t="s">
        <v>327</v>
      </c>
      <c r="B319" s="1" t="s">
        <v>167</v>
      </c>
      <c r="C319" s="1">
        <v>1991</v>
      </c>
      <c r="D319" s="1" t="s">
        <v>1710</v>
      </c>
      <c r="E319" s="17">
        <v>33494</v>
      </c>
      <c r="F319" s="18" t="str">
        <f t="shared" si="4"/>
        <v>PEPE1991_Septiembre</v>
      </c>
      <c r="G319" s="2" t="s">
        <v>1490</v>
      </c>
      <c r="H319" s="3">
        <v>1.5027777777777778</v>
      </c>
      <c r="I319" s="3">
        <v>-79.586111111111109</v>
      </c>
      <c r="J319" s="12">
        <v>31.7</v>
      </c>
      <c r="K319" s="12">
        <v>27.3</v>
      </c>
      <c r="L319" s="4">
        <v>130.9917870245404</v>
      </c>
      <c r="M319" s="5">
        <v>51</v>
      </c>
      <c r="N319" s="5">
        <v>237</v>
      </c>
      <c r="O319" s="13">
        <v>0</v>
      </c>
      <c r="P319" s="13">
        <v>6.4179426052673572</v>
      </c>
    </row>
    <row r="320" spans="1:16">
      <c r="A320" s="1" t="s">
        <v>328</v>
      </c>
      <c r="B320" s="1" t="s">
        <v>329</v>
      </c>
      <c r="C320" s="1">
        <v>1991</v>
      </c>
      <c r="D320" s="1" t="s">
        <v>1711</v>
      </c>
      <c r="E320" s="17">
        <v>33579</v>
      </c>
      <c r="F320" s="18" t="str">
        <f t="shared" si="4"/>
        <v>PEPE1991_Diciembre</v>
      </c>
      <c r="G320" s="1" t="s">
        <v>1334</v>
      </c>
      <c r="H320" s="3">
        <v>7.0472222222222225</v>
      </c>
      <c r="I320" s="3">
        <v>-77.75555555555556</v>
      </c>
      <c r="J320" s="12">
        <v>32.194999999999993</v>
      </c>
      <c r="K320" s="12">
        <v>27.88</v>
      </c>
      <c r="L320" s="4">
        <v>96.986332065372821</v>
      </c>
      <c r="M320" s="5">
        <v>184</v>
      </c>
      <c r="N320" s="5">
        <v>201</v>
      </c>
      <c r="O320" s="13">
        <v>17.322836532787424</v>
      </c>
      <c r="P320" s="13">
        <v>13.858269226229938</v>
      </c>
    </row>
    <row r="321" spans="1:16">
      <c r="A321" s="1" t="s">
        <v>330</v>
      </c>
      <c r="B321" s="1" t="s">
        <v>329</v>
      </c>
      <c r="C321" s="1">
        <v>1991</v>
      </c>
      <c r="D321" s="1" t="s">
        <v>1711</v>
      </c>
      <c r="E321" s="17">
        <v>33579</v>
      </c>
      <c r="F321" s="18" t="str">
        <f t="shared" si="4"/>
        <v>PEPE1991_Diciembre</v>
      </c>
      <c r="G321" s="1" t="s">
        <v>1530</v>
      </c>
      <c r="H321" s="3">
        <v>7.0333333333333332</v>
      </c>
      <c r="I321" s="3">
        <v>-77.830555555555549</v>
      </c>
      <c r="J321" s="12">
        <v>31.66</v>
      </c>
      <c r="K321" s="12">
        <v>27.88</v>
      </c>
      <c r="L321" s="4">
        <v>45.987299582623216</v>
      </c>
      <c r="M321" s="5">
        <v>56</v>
      </c>
      <c r="N321" s="5">
        <v>404</v>
      </c>
      <c r="O321" s="13">
        <v>0</v>
      </c>
      <c r="P321" s="13">
        <v>10.101876808316234</v>
      </c>
    </row>
    <row r="322" spans="1:16">
      <c r="A322" s="1" t="s">
        <v>331</v>
      </c>
      <c r="B322" s="1" t="s">
        <v>329</v>
      </c>
      <c r="C322" s="1">
        <v>1991</v>
      </c>
      <c r="D322" s="1" t="s">
        <v>1711</v>
      </c>
      <c r="E322" s="17">
        <v>33579</v>
      </c>
      <c r="F322" s="18" t="str">
        <f t="shared" si="4"/>
        <v>PEPE1991_Diciembre</v>
      </c>
      <c r="G322" s="1" t="s">
        <v>1531</v>
      </c>
      <c r="H322" s="3">
        <v>7.0333333333333332</v>
      </c>
      <c r="I322" s="3">
        <v>-77.87222222222222</v>
      </c>
      <c r="J322" s="12">
        <v>30.419999999999998</v>
      </c>
      <c r="K322" s="12">
        <v>27.88</v>
      </c>
      <c r="L322" s="4">
        <v>45.152154253167311</v>
      </c>
      <c r="M322" s="5">
        <v>119</v>
      </c>
      <c r="N322" s="5">
        <v>480</v>
      </c>
      <c r="O322" s="13">
        <v>0</v>
      </c>
      <c r="P322" s="13">
        <v>4.4053451833006907</v>
      </c>
    </row>
    <row r="323" spans="1:16">
      <c r="A323" s="1" t="s">
        <v>332</v>
      </c>
      <c r="B323" s="1" t="s">
        <v>329</v>
      </c>
      <c r="C323" s="1">
        <v>1991</v>
      </c>
      <c r="D323" s="1" t="s">
        <v>1711</v>
      </c>
      <c r="E323" s="17">
        <v>33579</v>
      </c>
      <c r="F323" s="18" t="str">
        <f t="shared" ref="F323:F386" si="5">"PEPE"&amp;C323&amp;"_"&amp;D323</f>
        <v>PEPE1991_Diciembre</v>
      </c>
      <c r="G323" s="1" t="s">
        <v>1532</v>
      </c>
      <c r="H323" s="3">
        <v>7.0361111111111114</v>
      </c>
      <c r="I323" s="3">
        <v>-77.969444444444449</v>
      </c>
      <c r="J323" s="12">
        <v>30.590000000000003</v>
      </c>
      <c r="K323" s="12">
        <v>27.92</v>
      </c>
      <c r="L323" s="4">
        <v>64.656077194773346</v>
      </c>
      <c r="M323" s="5">
        <v>176</v>
      </c>
      <c r="N323" s="5">
        <v>186</v>
      </c>
      <c r="O323" s="13">
        <v>0</v>
      </c>
      <c r="P323" s="13">
        <v>0</v>
      </c>
    </row>
    <row r="324" spans="1:16">
      <c r="A324" s="1" t="s">
        <v>333</v>
      </c>
      <c r="B324" s="1" t="s">
        <v>329</v>
      </c>
      <c r="C324" s="1">
        <v>1991</v>
      </c>
      <c r="D324" s="1" t="s">
        <v>1711</v>
      </c>
      <c r="E324" s="17">
        <v>33579</v>
      </c>
      <c r="F324" s="18" t="str">
        <f t="shared" si="5"/>
        <v>PEPE1991_Diciembre</v>
      </c>
      <c r="G324" s="1" t="s">
        <v>1533</v>
      </c>
      <c r="H324" s="3">
        <v>6.7555555555555555</v>
      </c>
      <c r="I324" s="3">
        <v>-77.61666666666666</v>
      </c>
      <c r="J324" s="12">
        <v>28.5</v>
      </c>
      <c r="K324" s="12">
        <v>28.5</v>
      </c>
      <c r="L324" s="4">
        <v>49.372500878950859</v>
      </c>
      <c r="M324" s="5">
        <v>13</v>
      </c>
      <c r="N324" s="5">
        <v>96</v>
      </c>
      <c r="O324" s="13">
        <v>0</v>
      </c>
      <c r="P324" s="13">
        <v>3.2943801211479964</v>
      </c>
    </row>
    <row r="325" spans="1:16">
      <c r="A325" s="1" t="s">
        <v>334</v>
      </c>
      <c r="B325" s="1" t="s">
        <v>329</v>
      </c>
      <c r="C325" s="1">
        <v>1991</v>
      </c>
      <c r="D325" s="1" t="s">
        <v>1711</v>
      </c>
      <c r="E325" s="17">
        <v>33579</v>
      </c>
      <c r="F325" s="18" t="str">
        <f t="shared" si="5"/>
        <v>PEPE1991_Diciembre</v>
      </c>
      <c r="G325" s="1" t="s">
        <v>1534</v>
      </c>
      <c r="H325" s="3">
        <v>6.802777777777778</v>
      </c>
      <c r="I325" s="3">
        <v>-77.680555555555557</v>
      </c>
      <c r="J325" s="12">
        <v>32.94</v>
      </c>
      <c r="K325" s="12">
        <v>28.55</v>
      </c>
      <c r="L325" s="4">
        <v>90.881699164962598</v>
      </c>
      <c r="M325" s="5">
        <v>5</v>
      </c>
      <c r="N325" s="5">
        <v>94</v>
      </c>
      <c r="O325" s="13">
        <v>0</v>
      </c>
      <c r="P325" s="13">
        <v>7.4432111616104359</v>
      </c>
    </row>
    <row r="326" spans="1:16">
      <c r="A326" s="1" t="s">
        <v>335</v>
      </c>
      <c r="B326" s="1" t="s">
        <v>329</v>
      </c>
      <c r="C326" s="1">
        <v>1991</v>
      </c>
      <c r="D326" s="1" t="s">
        <v>1711</v>
      </c>
      <c r="E326" s="17">
        <v>33579</v>
      </c>
      <c r="F326" s="18" t="str">
        <f t="shared" si="5"/>
        <v>PEPE1991_Diciembre</v>
      </c>
      <c r="G326" s="1" t="s">
        <v>1535</v>
      </c>
      <c r="H326" s="3">
        <v>6.8</v>
      </c>
      <c r="I326" s="3">
        <v>-77.766666666666666</v>
      </c>
      <c r="J326" s="12">
        <v>32.06</v>
      </c>
      <c r="K326" s="12">
        <v>28.88</v>
      </c>
      <c r="L326" s="4">
        <v>218.36568665886699</v>
      </c>
      <c r="M326" s="5">
        <v>99</v>
      </c>
      <c r="N326" s="5">
        <v>392</v>
      </c>
      <c r="O326" s="13">
        <v>0</v>
      </c>
      <c r="P326" s="13">
        <v>0</v>
      </c>
    </row>
    <row r="327" spans="1:16">
      <c r="A327" s="1" t="s">
        <v>336</v>
      </c>
      <c r="B327" s="1" t="s">
        <v>329</v>
      </c>
      <c r="C327" s="1">
        <v>1991</v>
      </c>
      <c r="D327" s="1" t="s">
        <v>1711</v>
      </c>
      <c r="E327" s="17">
        <v>33579</v>
      </c>
      <c r="F327" s="18" t="str">
        <f t="shared" si="5"/>
        <v>PEPE1991_Diciembre</v>
      </c>
      <c r="G327" s="1" t="s">
        <v>1536</v>
      </c>
      <c r="H327" s="3">
        <v>6.8416666666666668</v>
      </c>
      <c r="I327" s="3">
        <v>-77.936111111111117</v>
      </c>
      <c r="J327" s="12">
        <v>35.355000000000004</v>
      </c>
      <c r="K327" s="12">
        <v>29.11</v>
      </c>
      <c r="L327" s="4">
        <v>76.1627203017119</v>
      </c>
      <c r="M327" s="5">
        <v>79</v>
      </c>
      <c r="N327" s="5">
        <v>472</v>
      </c>
      <c r="O327" s="13">
        <v>0</v>
      </c>
      <c r="P327" s="13">
        <v>0</v>
      </c>
    </row>
    <row r="328" spans="1:16">
      <c r="A328" s="1" t="s">
        <v>337</v>
      </c>
      <c r="B328" s="1" t="s">
        <v>329</v>
      </c>
      <c r="C328" s="1">
        <v>1991</v>
      </c>
      <c r="D328" s="1" t="s">
        <v>1711</v>
      </c>
      <c r="E328" s="17">
        <v>33579</v>
      </c>
      <c r="F328" s="18" t="str">
        <f t="shared" si="5"/>
        <v>PEPE1991_Diciembre</v>
      </c>
      <c r="G328" s="1" t="s">
        <v>1537</v>
      </c>
      <c r="H328" s="3">
        <v>6.9555555555555557</v>
      </c>
      <c r="I328" s="3">
        <v>-78.141666666666666</v>
      </c>
      <c r="J328" s="12">
        <v>31.13</v>
      </c>
      <c r="K328" s="12">
        <v>28.66</v>
      </c>
      <c r="L328" s="4">
        <v>67.244750962158065</v>
      </c>
      <c r="M328" s="5">
        <v>106</v>
      </c>
      <c r="N328" s="5">
        <v>359</v>
      </c>
      <c r="O328" s="13">
        <v>0</v>
      </c>
      <c r="P328" s="13">
        <v>0</v>
      </c>
    </row>
    <row r="329" spans="1:16">
      <c r="A329" s="1" t="s">
        <v>338</v>
      </c>
      <c r="B329" s="1" t="s">
        <v>329</v>
      </c>
      <c r="C329" s="1">
        <v>1991</v>
      </c>
      <c r="D329" s="1" t="s">
        <v>1711</v>
      </c>
      <c r="E329" s="17">
        <v>33579</v>
      </c>
      <c r="F329" s="18" t="str">
        <f t="shared" si="5"/>
        <v>PEPE1991_Diciembre</v>
      </c>
      <c r="G329" s="1" t="s">
        <v>1493</v>
      </c>
      <c r="H329" s="3">
        <v>6.5194444444444448</v>
      </c>
      <c r="I329" s="3">
        <v>-77.402777777777786</v>
      </c>
      <c r="J329" s="12">
        <v>27.94</v>
      </c>
      <c r="K329" s="12">
        <v>27.94</v>
      </c>
      <c r="L329" s="4">
        <v>193.28430454522913</v>
      </c>
      <c r="M329" s="5">
        <v>0</v>
      </c>
      <c r="N329" s="5">
        <v>224</v>
      </c>
      <c r="O329" s="1">
        <v>0</v>
      </c>
      <c r="P329" s="13">
        <v>19.519930596256959</v>
      </c>
    </row>
    <row r="330" spans="1:16">
      <c r="A330" s="1" t="s">
        <v>339</v>
      </c>
      <c r="B330" s="1" t="s">
        <v>329</v>
      </c>
      <c r="C330" s="1">
        <v>1991</v>
      </c>
      <c r="D330" s="1" t="s">
        <v>1711</v>
      </c>
      <c r="E330" s="17">
        <v>33579</v>
      </c>
      <c r="F330" s="18" t="str">
        <f t="shared" si="5"/>
        <v>PEPE1991_Diciembre</v>
      </c>
      <c r="G330" s="1" t="s">
        <v>1494</v>
      </c>
      <c r="H330" s="3">
        <v>6.5194444444444448</v>
      </c>
      <c r="I330" s="3">
        <v>-77.469444444444449</v>
      </c>
      <c r="J330" s="12">
        <v>27.72</v>
      </c>
      <c r="K330" s="12">
        <v>27.72</v>
      </c>
      <c r="L330" s="4">
        <v>62.422277982669854</v>
      </c>
      <c r="M330" s="5">
        <v>15</v>
      </c>
      <c r="N330" s="5">
        <v>265</v>
      </c>
      <c r="O330" s="13">
        <v>0</v>
      </c>
      <c r="P330" s="13">
        <v>20.347165731231065</v>
      </c>
    </row>
    <row r="331" spans="1:16">
      <c r="A331" s="1" t="s">
        <v>340</v>
      </c>
      <c r="B331" s="1" t="s">
        <v>329</v>
      </c>
      <c r="C331" s="1">
        <v>1991</v>
      </c>
      <c r="D331" s="1" t="s">
        <v>1711</v>
      </c>
      <c r="E331" s="17">
        <v>33579</v>
      </c>
      <c r="F331" s="18" t="str">
        <f t="shared" si="5"/>
        <v>PEPE1991_Diciembre</v>
      </c>
      <c r="G331" s="1" t="s">
        <v>1538</v>
      </c>
      <c r="H331" s="3">
        <v>6.5194444444444448</v>
      </c>
      <c r="I331" s="3">
        <v>-77.533333333333331</v>
      </c>
      <c r="J331" s="12">
        <v>28.11</v>
      </c>
      <c r="K331" s="12">
        <v>28.11</v>
      </c>
      <c r="L331" s="4">
        <v>177.4865549985513</v>
      </c>
      <c r="M331" s="5">
        <v>27</v>
      </c>
      <c r="N331" s="5">
        <v>409</v>
      </c>
      <c r="O331" s="13">
        <v>0</v>
      </c>
      <c r="P331" s="13">
        <v>0</v>
      </c>
    </row>
    <row r="332" spans="1:16">
      <c r="A332" s="1" t="s">
        <v>341</v>
      </c>
      <c r="B332" s="1" t="s">
        <v>329</v>
      </c>
      <c r="C332" s="1">
        <v>1991</v>
      </c>
      <c r="D332" s="1" t="s">
        <v>1711</v>
      </c>
      <c r="E332" s="17">
        <v>33579</v>
      </c>
      <c r="F332" s="18" t="str">
        <f t="shared" si="5"/>
        <v>PEPE1991_Diciembre</v>
      </c>
      <c r="G332" s="1" t="s">
        <v>1496</v>
      </c>
      <c r="H332" s="3">
        <v>6.4527777777777784</v>
      </c>
      <c r="I332" s="3">
        <v>-77.725000000000009</v>
      </c>
      <c r="J332" s="12">
        <v>31.65</v>
      </c>
      <c r="K332" s="12">
        <v>28</v>
      </c>
      <c r="L332" s="4">
        <v>90.548744585601668</v>
      </c>
      <c r="M332" s="5">
        <v>44</v>
      </c>
      <c r="N332" s="5">
        <v>529</v>
      </c>
      <c r="O332" s="13">
        <v>0</v>
      </c>
      <c r="P332" s="13">
        <v>169.84899835187582</v>
      </c>
    </row>
    <row r="333" spans="1:16">
      <c r="A333" s="1" t="s">
        <v>342</v>
      </c>
      <c r="B333" s="1" t="s">
        <v>329</v>
      </c>
      <c r="C333" s="1">
        <v>1991</v>
      </c>
      <c r="D333" s="1" t="s">
        <v>1711</v>
      </c>
      <c r="E333" s="17">
        <v>33580</v>
      </c>
      <c r="F333" s="18" t="str">
        <f t="shared" si="5"/>
        <v>PEPE1991_Diciembre</v>
      </c>
      <c r="G333" s="1" t="s">
        <v>1497</v>
      </c>
      <c r="H333" s="3">
        <v>6.4916666666666671</v>
      </c>
      <c r="I333" s="3">
        <v>-78</v>
      </c>
      <c r="J333" s="12">
        <v>29.91</v>
      </c>
      <c r="K333" s="12">
        <v>27.44</v>
      </c>
      <c r="L333" s="4">
        <v>92.071227756517843</v>
      </c>
      <c r="M333" s="5">
        <v>124</v>
      </c>
      <c r="N333" s="5">
        <v>270</v>
      </c>
      <c r="O333" s="13">
        <v>0</v>
      </c>
      <c r="P333" s="13">
        <v>0</v>
      </c>
    </row>
    <row r="334" spans="1:16">
      <c r="A334" s="1" t="s">
        <v>343</v>
      </c>
      <c r="B334" s="1" t="s">
        <v>329</v>
      </c>
      <c r="C334" s="1">
        <v>1991</v>
      </c>
      <c r="D334" s="1" t="s">
        <v>1711</v>
      </c>
      <c r="E334" s="17">
        <v>33580</v>
      </c>
      <c r="F334" s="18" t="str">
        <f t="shared" si="5"/>
        <v>PEPE1991_Diciembre</v>
      </c>
      <c r="G334" s="1" t="s">
        <v>1346</v>
      </c>
      <c r="H334" s="3">
        <v>6.2944444444444443</v>
      </c>
      <c r="I334" s="3">
        <v>-77.466666666666669</v>
      </c>
      <c r="J334" s="12">
        <v>31.754999999999999</v>
      </c>
      <c r="K334" s="12">
        <v>27.89</v>
      </c>
      <c r="L334" s="4">
        <v>597.1748826763353</v>
      </c>
      <c r="M334" s="5">
        <v>0</v>
      </c>
      <c r="N334" s="5">
        <v>29</v>
      </c>
      <c r="O334" s="1">
        <v>0</v>
      </c>
      <c r="P334" s="13">
        <v>0</v>
      </c>
    </row>
    <row r="335" spans="1:16">
      <c r="A335" s="1" t="s">
        <v>344</v>
      </c>
      <c r="B335" s="1" t="s">
        <v>329</v>
      </c>
      <c r="C335" s="1">
        <v>1991</v>
      </c>
      <c r="D335" s="1" t="s">
        <v>1711</v>
      </c>
      <c r="E335" s="17">
        <v>33580</v>
      </c>
      <c r="F335" s="18" t="str">
        <f t="shared" si="5"/>
        <v>PEPE1991_Diciembre</v>
      </c>
      <c r="G335" s="1" t="s">
        <v>1347</v>
      </c>
      <c r="H335" s="3">
        <v>6.3194444444444446</v>
      </c>
      <c r="I335" s="3">
        <v>-77.49444444444444</v>
      </c>
      <c r="J335" s="12">
        <v>32.040000000000006</v>
      </c>
      <c r="K335" s="12">
        <v>27.89</v>
      </c>
      <c r="L335" s="4">
        <v>404.24454753691015</v>
      </c>
      <c r="M335" s="5">
        <v>59</v>
      </c>
      <c r="N335" s="5">
        <v>69</v>
      </c>
      <c r="O335" s="13">
        <v>0</v>
      </c>
      <c r="P335" s="13">
        <v>10.343904598738584</v>
      </c>
    </row>
    <row r="336" spans="1:16">
      <c r="A336" s="1" t="s">
        <v>345</v>
      </c>
      <c r="B336" s="1" t="s">
        <v>329</v>
      </c>
      <c r="C336" s="1">
        <v>1991</v>
      </c>
      <c r="D336" s="1" t="s">
        <v>1711</v>
      </c>
      <c r="E336" s="17">
        <v>33580</v>
      </c>
      <c r="F336" s="18" t="str">
        <f t="shared" si="5"/>
        <v>PEPE1991_Diciembre</v>
      </c>
      <c r="G336" s="1" t="s">
        <v>1539</v>
      </c>
      <c r="H336" s="3">
        <v>6.3</v>
      </c>
      <c r="I336" s="3">
        <v>-77.563888888888883</v>
      </c>
      <c r="J336" s="12">
        <v>31.309999999999995</v>
      </c>
      <c r="K336" s="12">
        <v>25.78</v>
      </c>
      <c r="L336" s="4">
        <v>216.56445419980685</v>
      </c>
      <c r="M336" s="5">
        <v>672</v>
      </c>
      <c r="N336" s="5">
        <v>230</v>
      </c>
      <c r="O336" s="13">
        <v>0</v>
      </c>
      <c r="P336" s="13">
        <v>99.83621338611097</v>
      </c>
    </row>
    <row r="337" spans="1:16">
      <c r="A337" s="1" t="s">
        <v>346</v>
      </c>
      <c r="B337" s="1" t="s">
        <v>329</v>
      </c>
      <c r="C337" s="1">
        <v>1991</v>
      </c>
      <c r="D337" s="1" t="s">
        <v>1711</v>
      </c>
      <c r="E337" s="17">
        <v>33580</v>
      </c>
      <c r="F337" s="18" t="str">
        <f t="shared" si="5"/>
        <v>PEPE1991_Diciembre</v>
      </c>
      <c r="G337" s="1" t="s">
        <v>1349</v>
      </c>
      <c r="H337" s="3">
        <v>6.2861111111111114</v>
      </c>
      <c r="I337" s="3">
        <v>-77.772222222222226</v>
      </c>
      <c r="J337" s="12">
        <v>28.61</v>
      </c>
      <c r="K337" s="12">
        <v>27.67</v>
      </c>
      <c r="L337" s="4">
        <v>116.92762187455479</v>
      </c>
      <c r="M337" s="5">
        <v>105</v>
      </c>
      <c r="N337" s="5">
        <v>211</v>
      </c>
      <c r="O337" s="13">
        <v>0</v>
      </c>
      <c r="P337" s="13">
        <v>5.5490508552467288</v>
      </c>
    </row>
    <row r="338" spans="1:16">
      <c r="A338" s="1" t="s">
        <v>347</v>
      </c>
      <c r="B338" s="1" t="s">
        <v>329</v>
      </c>
      <c r="C338" s="1">
        <v>1991</v>
      </c>
      <c r="D338" s="1" t="s">
        <v>1711</v>
      </c>
      <c r="E338" s="17">
        <v>33580</v>
      </c>
      <c r="F338" s="18" t="str">
        <f t="shared" si="5"/>
        <v>PEPE1991_Diciembre</v>
      </c>
      <c r="G338" s="1" t="s">
        <v>1350</v>
      </c>
      <c r="H338" s="3">
        <v>6.3472222222222223</v>
      </c>
      <c r="I338" s="3">
        <v>-78.030555555555551</v>
      </c>
      <c r="J338" s="12">
        <v>31.23</v>
      </c>
      <c r="K338" s="12">
        <v>27.44</v>
      </c>
      <c r="L338" s="4">
        <v>308.74360341143159</v>
      </c>
      <c r="M338" s="5">
        <v>133</v>
      </c>
      <c r="N338" s="5">
        <v>142</v>
      </c>
      <c r="O338" s="13">
        <v>0</v>
      </c>
      <c r="P338" s="13">
        <v>20.840193230271634</v>
      </c>
    </row>
    <row r="339" spans="1:16">
      <c r="A339" s="1" t="s">
        <v>348</v>
      </c>
      <c r="B339" s="1" t="s">
        <v>329</v>
      </c>
      <c r="C339" s="1">
        <v>1991</v>
      </c>
      <c r="D339" s="1" t="s">
        <v>1711</v>
      </c>
      <c r="E339" s="17">
        <v>33580</v>
      </c>
      <c r="F339" s="18" t="str">
        <f t="shared" si="5"/>
        <v>PEPE1991_Diciembre</v>
      </c>
      <c r="G339" s="1" t="s">
        <v>1540</v>
      </c>
      <c r="H339" s="3">
        <v>6.0027777777777782</v>
      </c>
      <c r="I339" s="3">
        <v>-77.383333333333326</v>
      </c>
      <c r="J339" s="12">
        <v>32.635000000000005</v>
      </c>
      <c r="K339" s="12">
        <v>28.78</v>
      </c>
      <c r="L339" s="4">
        <v>108.85242132758093</v>
      </c>
      <c r="M339" s="5">
        <v>28</v>
      </c>
      <c r="N339" s="5">
        <v>138</v>
      </c>
      <c r="O339" s="13">
        <v>0</v>
      </c>
      <c r="P339" s="13">
        <v>15.81081419783113</v>
      </c>
    </row>
    <row r="340" spans="1:16">
      <c r="A340" s="1" t="s">
        <v>349</v>
      </c>
      <c r="B340" s="1" t="s">
        <v>329</v>
      </c>
      <c r="C340" s="1">
        <v>1991</v>
      </c>
      <c r="D340" s="1" t="s">
        <v>1711</v>
      </c>
      <c r="E340" s="17">
        <v>33580</v>
      </c>
      <c r="F340" s="18" t="str">
        <f t="shared" si="5"/>
        <v>PEPE1991_Diciembre</v>
      </c>
      <c r="G340" s="1" t="s">
        <v>1352</v>
      </c>
      <c r="H340" s="3">
        <v>6.0027777777777782</v>
      </c>
      <c r="I340" s="3">
        <v>-77.480555555555554</v>
      </c>
      <c r="J340" s="12">
        <v>32.349999999999994</v>
      </c>
      <c r="K340" s="12">
        <v>28.11</v>
      </c>
      <c r="L340" s="4">
        <v>88.962868037605801</v>
      </c>
      <c r="M340" s="5">
        <v>45</v>
      </c>
      <c r="N340" s="5">
        <v>114</v>
      </c>
      <c r="O340" s="13">
        <v>0</v>
      </c>
      <c r="P340" s="13">
        <v>4.9753307680290657</v>
      </c>
    </row>
    <row r="341" spans="1:16">
      <c r="A341" s="1" t="s">
        <v>350</v>
      </c>
      <c r="B341" s="1" t="s">
        <v>329</v>
      </c>
      <c r="C341" s="1">
        <v>1991</v>
      </c>
      <c r="D341" s="1" t="s">
        <v>1711</v>
      </c>
      <c r="E341" s="17">
        <v>33580</v>
      </c>
      <c r="F341" s="18" t="str">
        <f t="shared" si="5"/>
        <v>PEPE1991_Diciembre</v>
      </c>
      <c r="G341" s="1" t="s">
        <v>1541</v>
      </c>
      <c r="H341" s="3">
        <v>6.0083333333333337</v>
      </c>
      <c r="I341" s="3">
        <v>-77.55</v>
      </c>
      <c r="J341" s="12">
        <v>31.905000000000001</v>
      </c>
      <c r="K341" s="12">
        <v>27.89</v>
      </c>
      <c r="L341" s="4">
        <v>278.68684031654834</v>
      </c>
      <c r="M341" s="5">
        <v>90</v>
      </c>
      <c r="N341" s="5">
        <v>297</v>
      </c>
      <c r="O341" s="13">
        <v>0</v>
      </c>
      <c r="P341" s="13">
        <v>40.501558503203981</v>
      </c>
    </row>
    <row r="342" spans="1:16">
      <c r="A342" s="1" t="s">
        <v>351</v>
      </c>
      <c r="B342" s="1" t="s">
        <v>329</v>
      </c>
      <c r="C342" s="1">
        <v>1991</v>
      </c>
      <c r="D342" s="1" t="s">
        <v>1711</v>
      </c>
      <c r="E342" s="17">
        <v>33580</v>
      </c>
      <c r="F342" s="18" t="str">
        <f t="shared" si="5"/>
        <v>PEPE1991_Diciembre</v>
      </c>
      <c r="G342" s="1" t="s">
        <v>1542</v>
      </c>
      <c r="H342" s="3">
        <v>6.0111111111111111</v>
      </c>
      <c r="I342" s="3">
        <v>-77.702777777777783</v>
      </c>
      <c r="J342" s="12">
        <v>30.19</v>
      </c>
      <c r="K342" s="12">
        <v>27.78</v>
      </c>
      <c r="L342" s="4">
        <v>102.48863715155147</v>
      </c>
      <c r="M342" s="5">
        <v>44</v>
      </c>
      <c r="N342" s="5">
        <v>399</v>
      </c>
      <c r="O342" s="13">
        <v>0</v>
      </c>
      <c r="P342" s="13">
        <v>50.691419349037105</v>
      </c>
    </row>
    <row r="343" spans="1:16">
      <c r="A343" s="1" t="s">
        <v>352</v>
      </c>
      <c r="B343" s="1" t="s">
        <v>329</v>
      </c>
      <c r="C343" s="1">
        <v>1991</v>
      </c>
      <c r="D343" s="1" t="s">
        <v>1711</v>
      </c>
      <c r="E343" s="17">
        <v>33580</v>
      </c>
      <c r="F343" s="18" t="str">
        <f t="shared" si="5"/>
        <v>PEPE1991_Diciembre</v>
      </c>
      <c r="G343" s="1" t="s">
        <v>1543</v>
      </c>
      <c r="H343" s="3">
        <v>6.0083333333333337</v>
      </c>
      <c r="I343" s="3">
        <v>-78.05</v>
      </c>
      <c r="J343" s="12">
        <v>31.07</v>
      </c>
      <c r="K343" s="12">
        <v>27.56</v>
      </c>
      <c r="L343" s="4">
        <v>247.61164700214204</v>
      </c>
      <c r="M343" s="5">
        <v>92</v>
      </c>
      <c r="N343" s="5">
        <v>224</v>
      </c>
      <c r="O343" s="13">
        <v>0</v>
      </c>
      <c r="P343" s="13">
        <v>0</v>
      </c>
    </row>
    <row r="344" spans="1:16">
      <c r="A344" s="1" t="s">
        <v>353</v>
      </c>
      <c r="B344" s="1" t="s">
        <v>329</v>
      </c>
      <c r="C344" s="1">
        <v>1991</v>
      </c>
      <c r="D344" s="1" t="s">
        <v>1711</v>
      </c>
      <c r="E344" s="17">
        <v>33581</v>
      </c>
      <c r="F344" s="18" t="str">
        <f t="shared" si="5"/>
        <v>PEPE1991_Diciembre</v>
      </c>
      <c r="G344" s="1" t="s">
        <v>1356</v>
      </c>
      <c r="H344" s="3">
        <v>5.8138888888888891</v>
      </c>
      <c r="I344" s="3">
        <v>-77.319444444444443</v>
      </c>
      <c r="J344" s="12">
        <v>30.745000000000001</v>
      </c>
      <c r="K344" s="12">
        <v>28.11</v>
      </c>
      <c r="L344" s="4">
        <v>465.40927044071702</v>
      </c>
      <c r="M344" s="5">
        <v>8</v>
      </c>
      <c r="N344" s="5">
        <v>418</v>
      </c>
      <c r="O344" s="13">
        <v>0</v>
      </c>
      <c r="P344" s="13">
        <v>136.73587480468723</v>
      </c>
    </row>
    <row r="345" spans="1:16">
      <c r="A345" s="1" t="s">
        <v>354</v>
      </c>
      <c r="B345" s="1" t="s">
        <v>329</v>
      </c>
      <c r="C345" s="1">
        <v>1991</v>
      </c>
      <c r="D345" s="1" t="s">
        <v>1711</v>
      </c>
      <c r="E345" s="17">
        <v>33581</v>
      </c>
      <c r="F345" s="18" t="str">
        <f t="shared" si="5"/>
        <v>PEPE1991_Diciembre</v>
      </c>
      <c r="G345" s="1" t="s">
        <v>1357</v>
      </c>
      <c r="H345" s="3">
        <v>5.8416666666666668</v>
      </c>
      <c r="I345" s="3">
        <v>-77.37222222222222</v>
      </c>
      <c r="J345" s="12">
        <v>31.369999999999997</v>
      </c>
      <c r="K345" s="12">
        <v>27.78</v>
      </c>
      <c r="L345" s="4">
        <v>74.867738506673746</v>
      </c>
      <c r="M345" s="5">
        <v>116</v>
      </c>
      <c r="N345" s="5">
        <v>501</v>
      </c>
      <c r="O345" s="13">
        <v>0</v>
      </c>
      <c r="P345" s="13">
        <v>121.2108686423048</v>
      </c>
    </row>
    <row r="346" spans="1:16">
      <c r="A346" s="1" t="s">
        <v>355</v>
      </c>
      <c r="B346" s="1" t="s">
        <v>329</v>
      </c>
      <c r="C346" s="1">
        <v>1991</v>
      </c>
      <c r="D346" s="1" t="s">
        <v>1711</v>
      </c>
      <c r="E346" s="17">
        <v>33581</v>
      </c>
      <c r="F346" s="18" t="str">
        <f t="shared" si="5"/>
        <v>PEPE1991_Diciembre</v>
      </c>
      <c r="G346" s="1" t="s">
        <v>1358</v>
      </c>
      <c r="H346" s="3">
        <v>5.833333333333333</v>
      </c>
      <c r="I346" s="3">
        <v>-77.466666666666669</v>
      </c>
      <c r="J346" s="12">
        <v>32.42</v>
      </c>
      <c r="K346" s="12">
        <v>27.78</v>
      </c>
      <c r="L346" s="4">
        <v>81.440230737764765</v>
      </c>
      <c r="M346" s="5">
        <v>87</v>
      </c>
      <c r="N346" s="5">
        <v>496</v>
      </c>
      <c r="O346" s="13">
        <v>0</v>
      </c>
      <c r="P346" s="13">
        <v>280.3341655065023</v>
      </c>
    </row>
    <row r="347" spans="1:16">
      <c r="A347" s="1" t="s">
        <v>356</v>
      </c>
      <c r="B347" s="1" t="s">
        <v>329</v>
      </c>
      <c r="C347" s="1">
        <v>1991</v>
      </c>
      <c r="D347" s="1" t="s">
        <v>1711</v>
      </c>
      <c r="E347" s="17">
        <v>33581</v>
      </c>
      <c r="F347" s="18" t="str">
        <f t="shared" si="5"/>
        <v>PEPE1991_Diciembre</v>
      </c>
      <c r="G347" s="1" t="s">
        <v>1359</v>
      </c>
      <c r="H347" s="3">
        <v>5.8527777777777779</v>
      </c>
      <c r="I347" s="3">
        <v>-77.641666666666666</v>
      </c>
      <c r="J347" s="12">
        <v>28.56</v>
      </c>
      <c r="K347" s="12">
        <v>27.67</v>
      </c>
      <c r="L347" s="4">
        <v>109.06934390023314</v>
      </c>
      <c r="M347" s="5">
        <v>67</v>
      </c>
      <c r="N347" s="5">
        <v>333</v>
      </c>
      <c r="O347" s="13">
        <v>0</v>
      </c>
      <c r="P347" s="13">
        <v>85.715415984315214</v>
      </c>
    </row>
    <row r="348" spans="1:16">
      <c r="A348" s="1" t="s">
        <v>357</v>
      </c>
      <c r="B348" s="1" t="s">
        <v>329</v>
      </c>
      <c r="C348" s="1">
        <v>1991</v>
      </c>
      <c r="D348" s="1" t="s">
        <v>1711</v>
      </c>
      <c r="E348" s="17">
        <v>33580</v>
      </c>
      <c r="F348" s="18" t="str">
        <f t="shared" si="5"/>
        <v>PEPE1991_Diciembre</v>
      </c>
      <c r="G348" s="1" t="s">
        <v>1360</v>
      </c>
      <c r="H348" s="3">
        <v>5.8361111111111112</v>
      </c>
      <c r="I348" s="3">
        <v>-77.972222222222229</v>
      </c>
      <c r="J348" s="12">
        <v>32.85</v>
      </c>
      <c r="K348" s="12">
        <v>27.67</v>
      </c>
      <c r="L348" s="4">
        <v>101.55193389218108</v>
      </c>
      <c r="M348" s="5">
        <v>166</v>
      </c>
      <c r="N348" s="5">
        <v>382</v>
      </c>
      <c r="O348" s="13">
        <v>0</v>
      </c>
      <c r="P348" s="13">
        <v>0</v>
      </c>
    </row>
    <row r="349" spans="1:16">
      <c r="A349" s="1" t="s">
        <v>358</v>
      </c>
      <c r="B349" s="1" t="s">
        <v>329</v>
      </c>
      <c r="C349" s="1">
        <v>1991</v>
      </c>
      <c r="D349" s="1" t="s">
        <v>1711</v>
      </c>
      <c r="E349" s="17">
        <v>33581</v>
      </c>
      <c r="F349" s="18" t="str">
        <f t="shared" si="5"/>
        <v>PEPE1991_Diciembre</v>
      </c>
      <c r="G349" s="1" t="s">
        <v>1361</v>
      </c>
      <c r="H349" s="3">
        <v>5.5055555555555555</v>
      </c>
      <c r="I349" s="3">
        <v>-77.561111111111103</v>
      </c>
      <c r="J349" s="12">
        <v>32.234999999999999</v>
      </c>
      <c r="K349" s="12">
        <v>27.78</v>
      </c>
      <c r="L349" s="4">
        <v>101.26027464463807</v>
      </c>
      <c r="M349" s="5">
        <v>14</v>
      </c>
      <c r="N349" s="5">
        <v>583</v>
      </c>
      <c r="O349" s="13">
        <v>0</v>
      </c>
      <c r="P349" s="13">
        <v>32.156887884648896</v>
      </c>
    </row>
    <row r="350" spans="1:16">
      <c r="A350" s="1" t="s">
        <v>332</v>
      </c>
      <c r="B350" s="1" t="s">
        <v>329</v>
      </c>
      <c r="C350" s="1">
        <v>1991</v>
      </c>
      <c r="D350" s="1" t="s">
        <v>1711</v>
      </c>
      <c r="E350" s="17">
        <v>33581</v>
      </c>
      <c r="F350" s="18" t="str">
        <f t="shared" si="5"/>
        <v>PEPE1991_Diciembre</v>
      </c>
      <c r="G350" s="1" t="s">
        <v>1509</v>
      </c>
      <c r="H350" s="3">
        <v>5.5111111111111111</v>
      </c>
      <c r="I350" s="3">
        <v>-77.638888888888886</v>
      </c>
      <c r="J350" s="12">
        <v>30.6</v>
      </c>
      <c r="K350" s="12">
        <v>27.33</v>
      </c>
      <c r="L350" s="4">
        <v>120.57052158699322</v>
      </c>
      <c r="M350" s="5">
        <v>31</v>
      </c>
      <c r="N350" s="5">
        <v>458</v>
      </c>
      <c r="O350" s="13">
        <v>0</v>
      </c>
      <c r="P350" s="13">
        <v>196.45642193429015</v>
      </c>
    </row>
    <row r="351" spans="1:16">
      <c r="A351" s="1" t="s">
        <v>359</v>
      </c>
      <c r="B351" s="1" t="s">
        <v>329</v>
      </c>
      <c r="C351" s="1">
        <v>1991</v>
      </c>
      <c r="D351" s="1" t="s">
        <v>1711</v>
      </c>
      <c r="E351" s="17">
        <v>33581</v>
      </c>
      <c r="F351" s="18" t="str">
        <f t="shared" si="5"/>
        <v>PEPE1991_Diciembre</v>
      </c>
      <c r="G351" s="1" t="s">
        <v>1362</v>
      </c>
      <c r="H351" s="3">
        <v>5.5333333333333332</v>
      </c>
      <c r="I351" s="3">
        <v>-77.733333333333334</v>
      </c>
      <c r="J351" s="12">
        <v>31.175000000000001</v>
      </c>
      <c r="K351" s="12">
        <v>27.28</v>
      </c>
      <c r="L351" s="4">
        <v>102.17882796757402</v>
      </c>
      <c r="M351" s="5">
        <v>138</v>
      </c>
      <c r="N351" s="5">
        <v>263</v>
      </c>
      <c r="O351" s="13">
        <v>0</v>
      </c>
      <c r="P351" s="13">
        <v>66.795128319386649</v>
      </c>
    </row>
    <row r="352" spans="1:16">
      <c r="A352" s="1" t="s">
        <v>360</v>
      </c>
      <c r="B352" s="1" t="s">
        <v>329</v>
      </c>
      <c r="C352" s="1">
        <v>1991</v>
      </c>
      <c r="D352" s="1" t="s">
        <v>1711</v>
      </c>
      <c r="E352" s="17">
        <v>33581</v>
      </c>
      <c r="F352" s="18" t="str">
        <f t="shared" si="5"/>
        <v>PEPE1991_Diciembre</v>
      </c>
      <c r="G352" s="1" t="s">
        <v>1363</v>
      </c>
      <c r="H352" s="3">
        <v>5.5388888888888888</v>
      </c>
      <c r="I352" s="3">
        <v>-77.900000000000006</v>
      </c>
      <c r="J352" s="12">
        <v>29.369999999999997</v>
      </c>
      <c r="K352" s="12">
        <v>27.44</v>
      </c>
      <c r="L352" s="4">
        <v>77.974764802299717</v>
      </c>
      <c r="M352" s="5">
        <v>473</v>
      </c>
      <c r="N352" s="5">
        <v>271</v>
      </c>
      <c r="O352" s="13">
        <v>0</v>
      </c>
      <c r="P352" s="13">
        <v>2.6856736848334948</v>
      </c>
    </row>
    <row r="353" spans="1:16">
      <c r="A353" s="1" t="s">
        <v>361</v>
      </c>
      <c r="B353" s="1" t="s">
        <v>329</v>
      </c>
      <c r="C353" s="1">
        <v>1991</v>
      </c>
      <c r="D353" s="1" t="s">
        <v>1711</v>
      </c>
      <c r="E353" s="17">
        <v>33581</v>
      </c>
      <c r="F353" s="18" t="str">
        <f t="shared" si="5"/>
        <v>PEPE1991_Diciembre</v>
      </c>
      <c r="G353" s="1" t="s">
        <v>1544</v>
      </c>
      <c r="H353" s="3">
        <v>5.5111111111111111</v>
      </c>
      <c r="I353" s="3">
        <v>-78.055555555555557</v>
      </c>
      <c r="J353" s="12">
        <v>31.45</v>
      </c>
      <c r="K353" s="12">
        <v>27.22</v>
      </c>
      <c r="L353" s="4">
        <v>40.333368276146942</v>
      </c>
      <c r="M353" s="5">
        <v>191</v>
      </c>
      <c r="N353" s="5">
        <v>442</v>
      </c>
      <c r="O353" s="13">
        <v>0</v>
      </c>
      <c r="P353" s="13">
        <v>0</v>
      </c>
    </row>
    <row r="354" spans="1:16">
      <c r="A354" s="1" t="s">
        <v>362</v>
      </c>
      <c r="B354" s="1" t="s">
        <v>329</v>
      </c>
      <c r="C354" s="1">
        <v>1991</v>
      </c>
      <c r="D354" s="1" t="s">
        <v>1711</v>
      </c>
      <c r="E354" s="17">
        <v>33581</v>
      </c>
      <c r="F354" s="18" t="str">
        <f t="shared" si="5"/>
        <v>PEPE1991_Diciembre</v>
      </c>
      <c r="G354" s="1" t="s">
        <v>1510</v>
      </c>
      <c r="H354" s="3">
        <v>5.3305555555555557</v>
      </c>
      <c r="I354" s="3">
        <v>-77.441666666666677</v>
      </c>
      <c r="J354" s="12">
        <v>26.88</v>
      </c>
      <c r="K354" s="12">
        <v>27.83</v>
      </c>
      <c r="L354" s="4">
        <v>121.96503577094239</v>
      </c>
      <c r="M354" s="5">
        <v>93</v>
      </c>
      <c r="N354" s="5">
        <v>126</v>
      </c>
      <c r="O354" s="13">
        <v>1.6465279829077224</v>
      </c>
      <c r="P354" s="13">
        <v>120.19654275226374</v>
      </c>
    </row>
    <row r="355" spans="1:16">
      <c r="A355" s="1" t="s">
        <v>363</v>
      </c>
      <c r="B355" s="1" t="s">
        <v>329</v>
      </c>
      <c r="C355" s="1">
        <v>1991</v>
      </c>
      <c r="D355" s="1" t="s">
        <v>1711</v>
      </c>
      <c r="E355" s="17">
        <v>33581</v>
      </c>
      <c r="F355" s="18" t="str">
        <f t="shared" si="5"/>
        <v>PEPE1991_Diciembre</v>
      </c>
      <c r="G355" s="1" t="s">
        <v>1365</v>
      </c>
      <c r="H355" s="3">
        <v>5.3361111111111112</v>
      </c>
      <c r="I355" s="3">
        <v>-77.50277777777778</v>
      </c>
      <c r="J355" s="12">
        <v>30.945</v>
      </c>
      <c r="K355" s="12">
        <v>26.67</v>
      </c>
      <c r="L355" s="4">
        <v>24.033591082121649</v>
      </c>
      <c r="M355" s="5">
        <v>755</v>
      </c>
      <c r="N355" s="5">
        <v>394</v>
      </c>
      <c r="O355" s="13">
        <v>10.941292340135881</v>
      </c>
      <c r="P355" s="13">
        <v>10.941292340135881</v>
      </c>
    </row>
    <row r="356" spans="1:16">
      <c r="A356" s="1" t="s">
        <v>364</v>
      </c>
      <c r="B356" s="1" t="s">
        <v>329</v>
      </c>
      <c r="C356" s="1">
        <v>1991</v>
      </c>
      <c r="D356" s="1" t="s">
        <v>1711</v>
      </c>
      <c r="E356" s="17">
        <v>33581</v>
      </c>
      <c r="F356" s="18" t="str">
        <f t="shared" si="5"/>
        <v>PEPE1991_Diciembre</v>
      </c>
      <c r="G356" s="1" t="s">
        <v>1366</v>
      </c>
      <c r="H356" s="3">
        <v>5.3416666666666668</v>
      </c>
      <c r="I356" s="3">
        <v>-77.577777777777769</v>
      </c>
      <c r="J356" s="12">
        <v>32.884999999999998</v>
      </c>
      <c r="K356" s="12">
        <v>27.33</v>
      </c>
      <c r="L356" s="4">
        <v>67.953064383530688</v>
      </c>
      <c r="M356" s="5">
        <v>1747</v>
      </c>
      <c r="N356" s="5">
        <v>137</v>
      </c>
      <c r="O356" s="13">
        <v>0</v>
      </c>
      <c r="P356" s="13">
        <v>15.880882824447358</v>
      </c>
    </row>
    <row r="357" spans="1:16">
      <c r="A357" s="1" t="s">
        <v>365</v>
      </c>
      <c r="B357" s="1" t="s">
        <v>329</v>
      </c>
      <c r="C357" s="1">
        <v>1991</v>
      </c>
      <c r="D357" s="1" t="s">
        <v>1711</v>
      </c>
      <c r="E357" s="17">
        <v>33581</v>
      </c>
      <c r="F357" s="18" t="str">
        <f t="shared" si="5"/>
        <v>PEPE1991_Diciembre</v>
      </c>
      <c r="G357" s="1" t="s">
        <v>1367</v>
      </c>
      <c r="H357" s="3">
        <v>5.3361111111111112</v>
      </c>
      <c r="I357" s="3">
        <v>-77.75833333333334</v>
      </c>
      <c r="J357" s="12">
        <v>33.090000000000003</v>
      </c>
      <c r="K357" s="12">
        <v>27.44</v>
      </c>
      <c r="L357" s="4">
        <v>54.619794489025068</v>
      </c>
      <c r="M357" s="5">
        <v>194</v>
      </c>
      <c r="N357" s="5">
        <v>53</v>
      </c>
      <c r="O357" s="13">
        <v>0</v>
      </c>
      <c r="P357" s="13">
        <v>0</v>
      </c>
    </row>
    <row r="358" spans="1:16">
      <c r="A358" s="1" t="s">
        <v>366</v>
      </c>
      <c r="B358" s="1" t="s">
        <v>329</v>
      </c>
      <c r="C358" s="1">
        <v>1991</v>
      </c>
      <c r="D358" s="1" t="s">
        <v>1711</v>
      </c>
      <c r="E358" s="17">
        <v>33581</v>
      </c>
      <c r="F358" s="18" t="str">
        <f t="shared" si="5"/>
        <v>PEPE1991_Diciembre</v>
      </c>
      <c r="G358" s="1" t="s">
        <v>1368</v>
      </c>
      <c r="H358" s="3">
        <v>5.3361111111111112</v>
      </c>
      <c r="I358" s="3">
        <v>-78.091666666666669</v>
      </c>
      <c r="J358" s="12">
        <v>28.855</v>
      </c>
      <c r="K358" s="12">
        <v>27.22</v>
      </c>
      <c r="L358" s="4">
        <v>57.861239143568028</v>
      </c>
      <c r="M358" s="5">
        <v>95</v>
      </c>
      <c r="N358" s="5">
        <v>115</v>
      </c>
      <c r="O358" s="13">
        <v>0</v>
      </c>
      <c r="P358" s="13">
        <v>0</v>
      </c>
    </row>
    <row r="359" spans="1:16">
      <c r="A359" s="1" t="s">
        <v>367</v>
      </c>
      <c r="B359" s="1" t="s">
        <v>329</v>
      </c>
      <c r="C359" s="1">
        <v>1991</v>
      </c>
      <c r="D359" s="1" t="s">
        <v>1711</v>
      </c>
      <c r="E359" s="17">
        <v>33582</v>
      </c>
      <c r="F359" s="18" t="str">
        <f t="shared" si="5"/>
        <v>PEPE1991_Diciembre</v>
      </c>
      <c r="G359" s="1" t="s">
        <v>1379</v>
      </c>
      <c r="H359" s="3">
        <v>5.166666666666667</v>
      </c>
      <c r="I359" s="3">
        <v>-77.486111111111114</v>
      </c>
      <c r="J359" s="12">
        <v>30.919999999999998</v>
      </c>
      <c r="K359" s="12">
        <v>26.89</v>
      </c>
      <c r="L359" s="4">
        <v>99.791250674364321</v>
      </c>
      <c r="M359" s="5">
        <v>466</v>
      </c>
      <c r="N359" s="5">
        <v>164</v>
      </c>
      <c r="O359" s="13">
        <v>52.789571606738726</v>
      </c>
      <c r="P359" s="13">
        <v>20.52927784706506</v>
      </c>
    </row>
    <row r="360" spans="1:16">
      <c r="A360" s="1" t="s">
        <v>368</v>
      </c>
      <c r="B360" s="1" t="s">
        <v>329</v>
      </c>
      <c r="C360" s="1">
        <v>1991</v>
      </c>
      <c r="D360" s="1" t="s">
        <v>1711</v>
      </c>
      <c r="E360" s="17">
        <v>33582</v>
      </c>
      <c r="F360" s="18" t="str">
        <f t="shared" si="5"/>
        <v>PEPE1991_Diciembre</v>
      </c>
      <c r="G360" s="1" t="s">
        <v>1383</v>
      </c>
      <c r="H360" s="3">
        <v>5.0055555555555555</v>
      </c>
      <c r="I360" s="3">
        <v>-77.400000000000006</v>
      </c>
      <c r="J360" s="12">
        <v>31.22</v>
      </c>
      <c r="K360" s="12">
        <v>26.22</v>
      </c>
      <c r="L360" s="4">
        <v>68.964456139988641</v>
      </c>
      <c r="M360" s="5">
        <v>231</v>
      </c>
      <c r="N360" s="5">
        <v>20</v>
      </c>
      <c r="O360" s="13">
        <v>21.103123578836524</v>
      </c>
      <c r="P360" s="13">
        <v>16.551469473597272</v>
      </c>
    </row>
    <row r="361" spans="1:16">
      <c r="A361" s="1" t="s">
        <v>369</v>
      </c>
      <c r="B361" s="1" t="s">
        <v>329</v>
      </c>
      <c r="C361" s="1">
        <v>1991</v>
      </c>
      <c r="D361" s="1" t="s">
        <v>1711</v>
      </c>
      <c r="E361" s="17">
        <v>33582</v>
      </c>
      <c r="F361" s="18" t="str">
        <f t="shared" si="5"/>
        <v>PEPE1991_Diciembre</v>
      </c>
      <c r="G361" s="1" t="s">
        <v>1384</v>
      </c>
      <c r="H361" s="3">
        <v>5.0083333333333337</v>
      </c>
      <c r="I361" s="3">
        <v>-77.472222222222229</v>
      </c>
      <c r="J361" s="12">
        <v>30.23</v>
      </c>
      <c r="K361" s="12">
        <v>26.89</v>
      </c>
      <c r="L361" s="4">
        <v>159.78328340397508</v>
      </c>
      <c r="M361" s="5">
        <v>41</v>
      </c>
      <c r="N361" s="5">
        <v>303</v>
      </c>
      <c r="O361" s="13">
        <v>0</v>
      </c>
      <c r="P361" s="13">
        <v>230.79653222812436</v>
      </c>
    </row>
    <row r="362" spans="1:16">
      <c r="A362" s="1" t="s">
        <v>370</v>
      </c>
      <c r="B362" s="1" t="s">
        <v>329</v>
      </c>
      <c r="C362" s="1">
        <v>1991</v>
      </c>
      <c r="D362" s="1" t="s">
        <v>1711</v>
      </c>
      <c r="E362" s="17">
        <v>33582</v>
      </c>
      <c r="F362" s="18" t="str">
        <f t="shared" si="5"/>
        <v>PEPE1991_Diciembre</v>
      </c>
      <c r="G362" s="1" t="s">
        <v>1385</v>
      </c>
      <c r="H362" s="3">
        <v>5.0111111111111111</v>
      </c>
      <c r="I362" s="3">
        <v>-77.55</v>
      </c>
      <c r="J362" s="12">
        <v>31.235000000000003</v>
      </c>
      <c r="K362" s="12">
        <v>26.56</v>
      </c>
      <c r="L362" s="4">
        <v>88.58761481317535</v>
      </c>
      <c r="M362" s="5">
        <v>53</v>
      </c>
      <c r="N362" s="5">
        <v>894</v>
      </c>
      <c r="O362" s="13">
        <v>0</v>
      </c>
      <c r="P362" s="13">
        <v>670.66730254561287</v>
      </c>
    </row>
    <row r="363" spans="1:16">
      <c r="A363" s="1" t="s">
        <v>371</v>
      </c>
      <c r="B363" s="1" t="s">
        <v>329</v>
      </c>
      <c r="C363" s="1">
        <v>1991</v>
      </c>
      <c r="D363" s="1" t="s">
        <v>1711</v>
      </c>
      <c r="E363" s="17">
        <v>33582</v>
      </c>
      <c r="F363" s="18" t="str">
        <f t="shared" si="5"/>
        <v>PEPE1991_Diciembre</v>
      </c>
      <c r="G363" s="1" t="s">
        <v>1386</v>
      </c>
      <c r="H363" s="3">
        <v>5.0027777777777782</v>
      </c>
      <c r="I363" s="3">
        <v>-77.725000000000009</v>
      </c>
      <c r="J363" s="12">
        <v>31.840000000000003</v>
      </c>
      <c r="K363" s="12">
        <v>27.22</v>
      </c>
      <c r="L363" s="4">
        <v>63.058047562301681</v>
      </c>
      <c r="M363" s="5">
        <v>152</v>
      </c>
      <c r="N363" s="5">
        <v>137</v>
      </c>
      <c r="O363" s="13">
        <v>0</v>
      </c>
      <c r="P363" s="13">
        <v>43.409159941888475</v>
      </c>
    </row>
    <row r="364" spans="1:16">
      <c r="A364" s="1" t="s">
        <v>372</v>
      </c>
      <c r="B364" s="1" t="s">
        <v>329</v>
      </c>
      <c r="C364" s="1">
        <v>1991</v>
      </c>
      <c r="D364" s="1" t="s">
        <v>1711</v>
      </c>
      <c r="E364" s="17">
        <v>33582</v>
      </c>
      <c r="F364" s="18" t="str">
        <f t="shared" si="5"/>
        <v>PEPE1991_Diciembre</v>
      </c>
      <c r="G364" s="1" t="s">
        <v>1545</v>
      </c>
      <c r="H364" s="3">
        <v>5.0027777777777782</v>
      </c>
      <c r="I364" s="3">
        <v>-77.880555555555546</v>
      </c>
      <c r="J364" s="12">
        <v>30.92</v>
      </c>
      <c r="K364" s="12">
        <v>27.22</v>
      </c>
      <c r="L364" s="4">
        <v>66.385660897673077</v>
      </c>
      <c r="M364" s="5">
        <v>213</v>
      </c>
      <c r="N364" s="5">
        <v>108</v>
      </c>
      <c r="O364" s="13">
        <v>0</v>
      </c>
      <c r="P364" s="13">
        <v>0</v>
      </c>
    </row>
    <row r="365" spans="1:16">
      <c r="A365" s="1" t="s">
        <v>373</v>
      </c>
      <c r="B365" s="1" t="s">
        <v>329</v>
      </c>
      <c r="C365" s="1">
        <v>1991</v>
      </c>
      <c r="D365" s="1" t="s">
        <v>1711</v>
      </c>
      <c r="E365" s="17">
        <v>33582</v>
      </c>
      <c r="F365" s="18" t="str">
        <f t="shared" si="5"/>
        <v>PEPE1991_Diciembre</v>
      </c>
      <c r="G365" s="1" t="s">
        <v>1388</v>
      </c>
      <c r="H365" s="3">
        <v>4.8361111111111112</v>
      </c>
      <c r="I365" s="3">
        <v>-77.380555555555546</v>
      </c>
      <c r="J365" s="12">
        <v>28.810000000000002</v>
      </c>
      <c r="K365" s="12">
        <v>27.22</v>
      </c>
      <c r="L365" s="4">
        <v>101.53280202822251</v>
      </c>
      <c r="M365" s="5">
        <v>268</v>
      </c>
      <c r="N365" s="5">
        <v>27</v>
      </c>
      <c r="O365" s="13">
        <v>14.844095656526129</v>
      </c>
      <c r="P365" s="13">
        <v>13.097731461640702</v>
      </c>
    </row>
    <row r="366" spans="1:16">
      <c r="A366" s="1" t="s">
        <v>374</v>
      </c>
      <c r="B366" s="1" t="s">
        <v>329</v>
      </c>
      <c r="C366" s="1">
        <v>1991</v>
      </c>
      <c r="D366" s="1" t="s">
        <v>1711</v>
      </c>
      <c r="E366" s="17">
        <v>33582</v>
      </c>
      <c r="F366" s="18" t="str">
        <f t="shared" si="5"/>
        <v>PEPE1991_Diciembre</v>
      </c>
      <c r="G366" s="1" t="s">
        <v>1389</v>
      </c>
      <c r="H366" s="3">
        <v>4.833333333333333</v>
      </c>
      <c r="I366" s="3">
        <v>-77.422222222222231</v>
      </c>
      <c r="J366" s="12">
        <v>29.324999999999999</v>
      </c>
      <c r="K366" s="12">
        <v>27.22</v>
      </c>
      <c r="L366" s="4">
        <v>139.59492292916318</v>
      </c>
      <c r="M366" s="5">
        <v>222</v>
      </c>
      <c r="N366" s="5">
        <v>625</v>
      </c>
      <c r="O366" s="13">
        <v>57.10304816071082</v>
      </c>
      <c r="P366" s="13">
        <v>202.45626166070198</v>
      </c>
    </row>
    <row r="367" spans="1:16">
      <c r="A367" s="1" t="s">
        <v>375</v>
      </c>
      <c r="B367" s="1" t="s">
        <v>329</v>
      </c>
      <c r="C367" s="1">
        <v>1991</v>
      </c>
      <c r="D367" s="1" t="s">
        <v>1711</v>
      </c>
      <c r="E367" s="17">
        <v>33582</v>
      </c>
      <c r="F367" s="18" t="str">
        <f t="shared" si="5"/>
        <v>PEPE1991_Diciembre</v>
      </c>
      <c r="G367" s="1" t="s">
        <v>1390</v>
      </c>
      <c r="H367" s="3">
        <v>4.8388888888888886</v>
      </c>
      <c r="I367" s="3">
        <v>-77.533333333333331</v>
      </c>
      <c r="J367" s="12">
        <v>30.020000000000003</v>
      </c>
      <c r="K367" s="12">
        <v>27.67</v>
      </c>
      <c r="L367" s="4">
        <v>57.471630848551769</v>
      </c>
      <c r="M367" s="5">
        <v>20</v>
      </c>
      <c r="N367" s="5">
        <v>195</v>
      </c>
      <c r="O367" s="13">
        <v>0</v>
      </c>
      <c r="P367" s="13">
        <v>58.534856019249979</v>
      </c>
    </row>
    <row r="368" spans="1:16">
      <c r="A368" s="1" t="s">
        <v>376</v>
      </c>
      <c r="B368" s="1" t="s">
        <v>329</v>
      </c>
      <c r="C368" s="1">
        <v>1991</v>
      </c>
      <c r="D368" s="1" t="s">
        <v>1711</v>
      </c>
      <c r="E368" s="17">
        <v>33582</v>
      </c>
      <c r="F368" s="18" t="str">
        <f t="shared" si="5"/>
        <v>PEPE1991_Diciembre</v>
      </c>
      <c r="G368" s="1" t="s">
        <v>1546</v>
      </c>
      <c r="H368" s="3">
        <v>4.8416666666666668</v>
      </c>
      <c r="I368" s="3">
        <v>-77.708333333333343</v>
      </c>
      <c r="J368" s="12">
        <v>30.139999999999997</v>
      </c>
      <c r="K368" s="12">
        <v>27.33</v>
      </c>
      <c r="L368" s="4">
        <v>65.868868821036642</v>
      </c>
      <c r="M368" s="5">
        <v>45</v>
      </c>
      <c r="N368" s="5">
        <v>10</v>
      </c>
      <c r="O368" s="13">
        <v>0</v>
      </c>
      <c r="P368" s="13">
        <v>0</v>
      </c>
    </row>
    <row r="369" spans="1:16">
      <c r="A369" s="1" t="s">
        <v>377</v>
      </c>
      <c r="B369" s="1" t="s">
        <v>329</v>
      </c>
      <c r="C369" s="1">
        <v>1991</v>
      </c>
      <c r="D369" s="1" t="s">
        <v>1711</v>
      </c>
      <c r="E369" s="17">
        <v>33582</v>
      </c>
      <c r="F369" s="18" t="str">
        <f t="shared" si="5"/>
        <v>PEPE1991_Diciembre</v>
      </c>
      <c r="G369" s="1" t="s">
        <v>1547</v>
      </c>
      <c r="H369" s="3">
        <v>4.8388888888888886</v>
      </c>
      <c r="I369" s="3">
        <v>-77.86666666666666</v>
      </c>
      <c r="J369" s="12">
        <v>31.22</v>
      </c>
      <c r="K369" s="12">
        <v>27.33</v>
      </c>
      <c r="L369" s="4">
        <v>62.33189244437483</v>
      </c>
      <c r="M369" s="5">
        <v>198</v>
      </c>
      <c r="N369" s="5">
        <v>110</v>
      </c>
      <c r="O369" s="13">
        <v>0</v>
      </c>
      <c r="P369" s="13">
        <v>0</v>
      </c>
    </row>
    <row r="370" spans="1:16">
      <c r="A370" s="1" t="s">
        <v>378</v>
      </c>
      <c r="B370" s="1" t="s">
        <v>329</v>
      </c>
      <c r="C370" s="1">
        <v>1991</v>
      </c>
      <c r="D370" s="1" t="s">
        <v>1711</v>
      </c>
      <c r="E370" s="17">
        <v>33582</v>
      </c>
      <c r="F370" s="18" t="str">
        <f t="shared" si="5"/>
        <v>PEPE1991_Diciembre</v>
      </c>
      <c r="G370" s="1" t="s">
        <v>1548</v>
      </c>
      <c r="H370" s="3">
        <v>4.6750000000000007</v>
      </c>
      <c r="I370" s="3">
        <v>-77.36666666666666</v>
      </c>
      <c r="J370" s="12">
        <v>30.3</v>
      </c>
      <c r="K370" s="12">
        <v>27.11</v>
      </c>
      <c r="L370" s="4">
        <v>79.438888021912732</v>
      </c>
      <c r="M370" s="5">
        <v>485</v>
      </c>
      <c r="N370" s="5">
        <v>144</v>
      </c>
      <c r="O370" s="13">
        <v>79.168795802638229</v>
      </c>
      <c r="P370" s="13">
        <v>52.779197201758819</v>
      </c>
    </row>
    <row r="371" spans="1:16">
      <c r="A371" s="1" t="s">
        <v>379</v>
      </c>
      <c r="B371" s="1" t="s">
        <v>329</v>
      </c>
      <c r="C371" s="1">
        <v>1991</v>
      </c>
      <c r="D371" s="1" t="s">
        <v>1711</v>
      </c>
      <c r="E371" s="17">
        <v>33582</v>
      </c>
      <c r="F371" s="18" t="str">
        <f t="shared" si="5"/>
        <v>PEPE1991_Diciembre</v>
      </c>
      <c r="G371" s="1" t="s">
        <v>1398</v>
      </c>
      <c r="H371" s="3">
        <v>4.5083333333333337</v>
      </c>
      <c r="I371" s="3">
        <v>-77.377777777777766</v>
      </c>
      <c r="J371" s="12">
        <v>29.364999999999998</v>
      </c>
      <c r="K371" s="12">
        <v>27.44</v>
      </c>
      <c r="L371" s="4">
        <v>287.03827847759146</v>
      </c>
      <c r="M371" s="5">
        <v>147</v>
      </c>
      <c r="N371" s="5">
        <v>155</v>
      </c>
      <c r="O371" s="13">
        <v>42.62083528909691</v>
      </c>
      <c r="P371" s="13">
        <v>122.99155326282252</v>
      </c>
    </row>
    <row r="372" spans="1:16">
      <c r="A372" s="1" t="s">
        <v>380</v>
      </c>
      <c r="B372" s="1" t="s">
        <v>329</v>
      </c>
      <c r="C372" s="1">
        <v>1991</v>
      </c>
      <c r="D372" s="1" t="s">
        <v>1711</v>
      </c>
      <c r="E372" s="17">
        <v>33582</v>
      </c>
      <c r="F372" s="18" t="str">
        <f t="shared" si="5"/>
        <v>PEPE1991_Diciembre</v>
      </c>
      <c r="G372" s="1" t="s">
        <v>1399</v>
      </c>
      <c r="H372" s="3">
        <v>4.4833333333333334</v>
      </c>
      <c r="I372" s="3">
        <v>-77.458333333333343</v>
      </c>
      <c r="J372" s="12">
        <v>30.240000000000002</v>
      </c>
      <c r="K372" s="12">
        <v>27.11</v>
      </c>
      <c r="L372" s="4">
        <v>131.44172601135728</v>
      </c>
      <c r="M372" s="5">
        <v>24</v>
      </c>
      <c r="N372" s="5">
        <v>62</v>
      </c>
      <c r="O372" s="13">
        <v>1.5159612399976539</v>
      </c>
      <c r="P372" s="13">
        <v>6.0638449599906155</v>
      </c>
    </row>
    <row r="373" spans="1:16">
      <c r="A373" s="1" t="s">
        <v>381</v>
      </c>
      <c r="B373" s="1" t="s">
        <v>329</v>
      </c>
      <c r="C373" s="1">
        <v>1991</v>
      </c>
      <c r="D373" s="1" t="s">
        <v>1711</v>
      </c>
      <c r="E373" s="17">
        <v>33582</v>
      </c>
      <c r="F373" s="18" t="str">
        <f t="shared" si="5"/>
        <v>PEPE1991_Diciembre</v>
      </c>
      <c r="G373" s="1" t="s">
        <v>1400</v>
      </c>
      <c r="H373" s="3">
        <v>4.4861111111111116</v>
      </c>
      <c r="I373" s="3">
        <v>-77.516666666666666</v>
      </c>
      <c r="J373" s="12">
        <v>29.675000000000001</v>
      </c>
      <c r="K373" s="12">
        <v>26.89</v>
      </c>
      <c r="L373" s="4">
        <v>79.572933814820402</v>
      </c>
      <c r="M373" s="5">
        <v>82</v>
      </c>
      <c r="N373" s="5">
        <v>150</v>
      </c>
      <c r="O373" s="13">
        <v>0</v>
      </c>
      <c r="P373" s="13">
        <v>4.2969384260003016</v>
      </c>
    </row>
    <row r="374" spans="1:16">
      <c r="A374" s="1" t="s">
        <v>382</v>
      </c>
      <c r="B374" s="1" t="s">
        <v>329</v>
      </c>
      <c r="C374" s="1">
        <v>1991</v>
      </c>
      <c r="D374" s="1" t="s">
        <v>1711</v>
      </c>
      <c r="E374" s="17">
        <v>33582</v>
      </c>
      <c r="F374" s="18" t="str">
        <f t="shared" si="5"/>
        <v>PEPE1991_Diciembre</v>
      </c>
      <c r="G374" s="1" t="s">
        <v>1401</v>
      </c>
      <c r="H374" s="3">
        <v>4.5166666666666666</v>
      </c>
      <c r="I374" s="3">
        <v>-77.683333333333337</v>
      </c>
      <c r="J374" s="12">
        <v>30.58</v>
      </c>
      <c r="K374" s="12">
        <v>26.67</v>
      </c>
      <c r="L374" s="4">
        <v>65.733077644282048</v>
      </c>
      <c r="M374" s="5">
        <v>63</v>
      </c>
      <c r="N374" s="5">
        <v>299</v>
      </c>
      <c r="O374" s="13">
        <v>0</v>
      </c>
      <c r="P374" s="13">
        <v>88.345256353915076</v>
      </c>
    </row>
    <row r="375" spans="1:16">
      <c r="A375" s="1" t="s">
        <v>383</v>
      </c>
      <c r="B375" s="1" t="s">
        <v>329</v>
      </c>
      <c r="C375" s="1">
        <v>1991</v>
      </c>
      <c r="D375" s="1" t="s">
        <v>1711</v>
      </c>
      <c r="E375" s="17">
        <v>33582</v>
      </c>
      <c r="F375" s="18" t="str">
        <f t="shared" si="5"/>
        <v>PEPE1991_Diciembre</v>
      </c>
      <c r="G375" s="1" t="s">
        <v>1549</v>
      </c>
      <c r="H375" s="3">
        <v>4.5083333333333337</v>
      </c>
      <c r="I375" s="3">
        <v>-78.033333333333331</v>
      </c>
      <c r="J375" s="12">
        <v>31.44</v>
      </c>
      <c r="K375" s="12">
        <v>26.67</v>
      </c>
      <c r="L375" s="4">
        <v>98.394606648160647</v>
      </c>
      <c r="M375" s="5">
        <v>111</v>
      </c>
      <c r="N375" s="5">
        <v>532</v>
      </c>
      <c r="O375" s="13">
        <v>0</v>
      </c>
      <c r="P375" s="13">
        <v>12.366648456621455</v>
      </c>
    </row>
    <row r="376" spans="1:16">
      <c r="A376" s="1" t="s">
        <v>384</v>
      </c>
      <c r="B376" s="1" t="s">
        <v>329</v>
      </c>
      <c r="C376" s="1">
        <v>1991</v>
      </c>
      <c r="D376" s="1" t="s">
        <v>1711</v>
      </c>
      <c r="E376" s="17">
        <v>33583</v>
      </c>
      <c r="F376" s="18" t="str">
        <f t="shared" si="5"/>
        <v>PEPE1991_Diciembre</v>
      </c>
      <c r="G376" s="1" t="s">
        <v>1550</v>
      </c>
      <c r="H376" s="3">
        <v>4.3277777777777775</v>
      </c>
      <c r="I376" s="3">
        <v>-77.522222222222226</v>
      </c>
      <c r="J376" s="12">
        <v>30.595000000000002</v>
      </c>
      <c r="K376" s="12">
        <v>26.11</v>
      </c>
      <c r="L376" s="4">
        <v>116.94695354718016</v>
      </c>
      <c r="M376" s="5">
        <v>54</v>
      </c>
      <c r="N376" s="5">
        <v>1362</v>
      </c>
      <c r="O376" s="13">
        <v>9.8001547072536965</v>
      </c>
      <c r="P376" s="13">
        <v>1127.0177913341752</v>
      </c>
    </row>
    <row r="377" spans="1:16">
      <c r="A377" s="1" t="s">
        <v>385</v>
      </c>
      <c r="B377" s="1" t="s">
        <v>329</v>
      </c>
      <c r="C377" s="1">
        <v>1991</v>
      </c>
      <c r="D377" s="1" t="s">
        <v>1711</v>
      </c>
      <c r="E377" s="17">
        <v>33583</v>
      </c>
      <c r="F377" s="18" t="str">
        <f t="shared" si="5"/>
        <v>PEPE1991_Diciembre</v>
      </c>
      <c r="G377" s="1" t="s">
        <v>1405</v>
      </c>
      <c r="H377" s="3">
        <v>4.3361111111111112</v>
      </c>
      <c r="I377" s="3">
        <v>-77.583333333333329</v>
      </c>
      <c r="J377" s="12">
        <v>30.759999999999998</v>
      </c>
      <c r="K377" s="12">
        <v>26.44</v>
      </c>
      <c r="L377" s="4">
        <v>87.147605192423512</v>
      </c>
      <c r="M377" s="5">
        <v>132</v>
      </c>
      <c r="N377" s="5">
        <v>1049</v>
      </c>
      <c r="O377" s="13">
        <v>0</v>
      </c>
      <c r="P377" s="13">
        <v>264.79464654620995</v>
      </c>
    </row>
    <row r="378" spans="1:16">
      <c r="A378" s="1" t="s">
        <v>386</v>
      </c>
      <c r="B378" s="1" t="s">
        <v>329</v>
      </c>
      <c r="C378" s="1">
        <v>1991</v>
      </c>
      <c r="D378" s="1" t="s">
        <v>1711</v>
      </c>
      <c r="E378" s="17">
        <v>33583</v>
      </c>
      <c r="F378" s="18" t="str">
        <f t="shared" si="5"/>
        <v>PEPE1991_Diciembre</v>
      </c>
      <c r="G378" s="1" t="s">
        <v>1406</v>
      </c>
      <c r="H378" s="3">
        <v>4.3444444444444441</v>
      </c>
      <c r="I378" s="3">
        <v>-77.738888888888894</v>
      </c>
      <c r="J378" s="12">
        <v>29.575000000000003</v>
      </c>
      <c r="K378" s="12">
        <v>27.11</v>
      </c>
      <c r="L378" s="4">
        <v>97.940897716102199</v>
      </c>
      <c r="M378" s="5">
        <v>91</v>
      </c>
      <c r="N378" s="5">
        <v>324</v>
      </c>
      <c r="O378" s="13">
        <v>0</v>
      </c>
      <c r="P378" s="13">
        <v>59.247713725060763</v>
      </c>
    </row>
    <row r="379" spans="1:16">
      <c r="A379" s="1" t="s">
        <v>387</v>
      </c>
      <c r="B379" s="1" t="s">
        <v>329</v>
      </c>
      <c r="C379" s="1">
        <v>1991</v>
      </c>
      <c r="D379" s="1" t="s">
        <v>1711</v>
      </c>
      <c r="E379" s="17">
        <v>33582</v>
      </c>
      <c r="F379" s="18" t="str">
        <f t="shared" si="5"/>
        <v>PEPE1991_Diciembre</v>
      </c>
      <c r="G379" s="1" t="s">
        <v>1407</v>
      </c>
      <c r="H379" s="3">
        <v>4.3361111111111112</v>
      </c>
      <c r="I379" s="3">
        <v>-78.086111111111109</v>
      </c>
      <c r="J379" s="12">
        <v>31.315000000000001</v>
      </c>
      <c r="K379" s="12">
        <v>26.89</v>
      </c>
      <c r="L379" s="4">
        <v>69.522668309209223</v>
      </c>
      <c r="M379" s="5">
        <v>167</v>
      </c>
      <c r="N379" s="5">
        <v>457</v>
      </c>
      <c r="O379" s="13">
        <v>0</v>
      </c>
      <c r="P379" s="13">
        <v>108.17727188912956</v>
      </c>
    </row>
    <row r="380" spans="1:16">
      <c r="A380" s="1" t="s">
        <v>388</v>
      </c>
      <c r="B380" s="1" t="s">
        <v>329</v>
      </c>
      <c r="C380" s="1">
        <v>1991</v>
      </c>
      <c r="D380" s="1" t="s">
        <v>1711</v>
      </c>
      <c r="E380" s="17">
        <v>33583</v>
      </c>
      <c r="F380" s="18" t="str">
        <f t="shared" si="5"/>
        <v>PEPE1991_Diciembre</v>
      </c>
      <c r="G380" s="1" t="s">
        <v>1408</v>
      </c>
      <c r="H380" s="3">
        <v>4.166666666666667</v>
      </c>
      <c r="I380" s="3">
        <v>-77.558333333333337</v>
      </c>
      <c r="J380" s="12">
        <v>32.245000000000005</v>
      </c>
      <c r="K380" s="12">
        <v>27.22</v>
      </c>
      <c r="L380" s="4">
        <v>47.342899865766313</v>
      </c>
      <c r="M380" s="5">
        <v>19</v>
      </c>
      <c r="N380" s="5">
        <v>55</v>
      </c>
      <c r="O380" s="13">
        <v>9.495633058790844</v>
      </c>
      <c r="P380" s="13">
        <v>42.55450370791452</v>
      </c>
    </row>
    <row r="381" spans="1:16">
      <c r="A381" s="1" t="s">
        <v>389</v>
      </c>
      <c r="B381" s="1" t="s">
        <v>329</v>
      </c>
      <c r="C381" s="1">
        <v>1991</v>
      </c>
      <c r="D381" s="1" t="s">
        <v>1711</v>
      </c>
      <c r="E381" s="17">
        <v>33583</v>
      </c>
      <c r="F381" s="18" t="str">
        <f t="shared" si="5"/>
        <v>PEPE1991_Diciembre</v>
      </c>
      <c r="G381" s="1" t="s">
        <v>1409</v>
      </c>
      <c r="H381" s="3">
        <v>4.1722222222222225</v>
      </c>
      <c r="I381" s="3">
        <v>-77.602777777777774</v>
      </c>
      <c r="J381" s="12">
        <v>28.76</v>
      </c>
      <c r="K381" s="12">
        <v>28.33</v>
      </c>
      <c r="L381" s="4">
        <v>124.48321648498373</v>
      </c>
      <c r="M381" s="5">
        <v>51</v>
      </c>
      <c r="N381" s="5">
        <v>400</v>
      </c>
      <c r="O381" s="13">
        <v>0</v>
      </c>
      <c r="P381" s="13">
        <v>125.4790822168636</v>
      </c>
    </row>
    <row r="382" spans="1:16">
      <c r="A382" s="1" t="s">
        <v>390</v>
      </c>
      <c r="B382" s="1" t="s">
        <v>329</v>
      </c>
      <c r="C382" s="1">
        <v>1991</v>
      </c>
      <c r="D382" s="1" t="s">
        <v>1711</v>
      </c>
      <c r="E382" s="17">
        <v>33583</v>
      </c>
      <c r="F382" s="18" t="str">
        <f t="shared" si="5"/>
        <v>PEPE1991_Diciembre</v>
      </c>
      <c r="G382" s="1" t="s">
        <v>1410</v>
      </c>
      <c r="H382" s="3">
        <v>4.1694444444444452</v>
      </c>
      <c r="I382" s="3">
        <v>-77.680555555555557</v>
      </c>
      <c r="J382" s="12">
        <v>29.080000000000002</v>
      </c>
      <c r="K382" s="12">
        <v>27.67</v>
      </c>
      <c r="L382" s="4">
        <v>114.43421579642174</v>
      </c>
      <c r="M382" s="5">
        <v>33</v>
      </c>
      <c r="N382" s="5">
        <v>771</v>
      </c>
      <c r="O382" s="13">
        <v>0</v>
      </c>
      <c r="P382" s="13">
        <v>441.83622890077407</v>
      </c>
    </row>
    <row r="383" spans="1:16">
      <c r="A383" s="1" t="s">
        <v>391</v>
      </c>
      <c r="B383" s="1" t="s">
        <v>329</v>
      </c>
      <c r="C383" s="1">
        <v>1991</v>
      </c>
      <c r="D383" s="1" t="s">
        <v>1711</v>
      </c>
      <c r="E383" s="17">
        <v>33583</v>
      </c>
      <c r="F383" s="18" t="str">
        <f t="shared" si="5"/>
        <v>PEPE1991_Diciembre</v>
      </c>
      <c r="G383" s="1" t="s">
        <v>1411</v>
      </c>
      <c r="H383" s="3">
        <v>4.166666666666667</v>
      </c>
      <c r="I383" s="3">
        <v>-77.875</v>
      </c>
      <c r="J383" s="12">
        <v>30.674999999999997</v>
      </c>
      <c r="K383" s="12">
        <v>27.83</v>
      </c>
      <c r="L383" s="4">
        <v>101.95764437812916</v>
      </c>
      <c r="M383" s="5">
        <v>210</v>
      </c>
      <c r="N383" s="5">
        <v>463</v>
      </c>
      <c r="O383" s="13">
        <v>0</v>
      </c>
      <c r="P383" s="13">
        <v>34.329738612965372</v>
      </c>
    </row>
    <row r="384" spans="1:16">
      <c r="A384" s="1" t="s">
        <v>392</v>
      </c>
      <c r="B384" s="1" t="s">
        <v>329</v>
      </c>
      <c r="C384" s="1">
        <v>1991</v>
      </c>
      <c r="D384" s="1" t="s">
        <v>1711</v>
      </c>
      <c r="E384" s="17">
        <v>33583</v>
      </c>
      <c r="F384" s="18" t="str">
        <f t="shared" si="5"/>
        <v>PEPE1991_Diciembre</v>
      </c>
      <c r="G384" s="1" t="s">
        <v>1412</v>
      </c>
      <c r="H384" s="3">
        <v>4.166666666666667</v>
      </c>
      <c r="I384" s="3">
        <v>-78.211111111111109</v>
      </c>
      <c r="J384" s="12">
        <v>32.24</v>
      </c>
      <c r="K384" s="12">
        <v>27.06</v>
      </c>
      <c r="L384" s="4">
        <v>105.04114693472464</v>
      </c>
      <c r="M384" s="5">
        <v>65</v>
      </c>
      <c r="N384" s="5">
        <v>198</v>
      </c>
      <c r="O384" s="13">
        <v>0</v>
      </c>
      <c r="P384" s="13">
        <v>39.012281971556725</v>
      </c>
    </row>
    <row r="385" spans="1:16">
      <c r="A385" s="1" t="s">
        <v>393</v>
      </c>
      <c r="B385" s="1" t="s">
        <v>329</v>
      </c>
      <c r="C385" s="1">
        <v>1991</v>
      </c>
      <c r="D385" s="1" t="s">
        <v>1711</v>
      </c>
      <c r="E385" s="17">
        <v>33584</v>
      </c>
      <c r="F385" s="18" t="str">
        <f t="shared" si="5"/>
        <v>PEPE1991_Diciembre</v>
      </c>
      <c r="G385" s="1" t="s">
        <v>1551</v>
      </c>
      <c r="H385" s="3">
        <v>3.9972222222222222</v>
      </c>
      <c r="I385" s="3">
        <v>-77.45</v>
      </c>
      <c r="J385" s="12">
        <v>30.03</v>
      </c>
      <c r="K385" s="12">
        <v>26.67</v>
      </c>
      <c r="L385" s="4">
        <v>44.83874669773504</v>
      </c>
      <c r="M385" s="5">
        <v>310</v>
      </c>
      <c r="N385" s="5">
        <v>2</v>
      </c>
      <c r="O385" s="13">
        <v>15.065818890438974</v>
      </c>
      <c r="P385" s="13">
        <v>0.53806496037282048</v>
      </c>
    </row>
    <row r="386" spans="1:16">
      <c r="A386" s="1" t="s">
        <v>394</v>
      </c>
      <c r="B386" s="1" t="s">
        <v>329</v>
      </c>
      <c r="C386" s="1">
        <v>1991</v>
      </c>
      <c r="D386" s="1" t="s">
        <v>1711</v>
      </c>
      <c r="E386" s="17">
        <v>33584</v>
      </c>
      <c r="F386" s="18" t="str">
        <f t="shared" si="5"/>
        <v>PEPE1991_Diciembre</v>
      </c>
      <c r="G386" s="1" t="s">
        <v>1552</v>
      </c>
      <c r="H386" s="3">
        <v>4.0055555555555555</v>
      </c>
      <c r="I386" s="3">
        <v>-77.5</v>
      </c>
      <c r="J386" s="12">
        <v>30.49</v>
      </c>
      <c r="K386" s="12">
        <v>25.11</v>
      </c>
      <c r="L386" s="4">
        <v>179.44598662568424</v>
      </c>
      <c r="M386" s="5">
        <v>413</v>
      </c>
      <c r="N386" s="5">
        <v>29</v>
      </c>
      <c r="O386" s="13">
        <v>11.484543144043791</v>
      </c>
      <c r="P386" s="13">
        <v>0</v>
      </c>
    </row>
    <row r="387" spans="1:16">
      <c r="A387" s="1" t="s">
        <v>395</v>
      </c>
      <c r="B387" s="1" t="s">
        <v>329</v>
      </c>
      <c r="C387" s="1">
        <v>1991</v>
      </c>
      <c r="D387" s="1" t="s">
        <v>1711</v>
      </c>
      <c r="E387" s="17">
        <v>33584</v>
      </c>
      <c r="F387" s="18" t="str">
        <f t="shared" ref="F387:F450" si="6">"PEPE"&amp;C387&amp;"_"&amp;D387</f>
        <v>PEPE1991_Diciembre</v>
      </c>
      <c r="G387" s="1" t="s">
        <v>1514</v>
      </c>
      <c r="H387" s="3">
        <v>4.0222222222222221</v>
      </c>
      <c r="I387" s="3">
        <v>-77.588888888888889</v>
      </c>
      <c r="J387" s="12">
        <v>29.48</v>
      </c>
      <c r="K387" s="12">
        <v>27.89</v>
      </c>
      <c r="L387" s="4">
        <v>145.8367164033491</v>
      </c>
      <c r="M387" s="5">
        <v>34</v>
      </c>
      <c r="N387" s="5">
        <v>521</v>
      </c>
      <c r="O387" s="13">
        <v>3.402856716078146</v>
      </c>
      <c r="P387" s="13">
        <v>183.75426266821989</v>
      </c>
    </row>
    <row r="388" spans="1:16">
      <c r="A388" s="1" t="s">
        <v>396</v>
      </c>
      <c r="B388" s="1" t="s">
        <v>329</v>
      </c>
      <c r="C388" s="1">
        <v>1991</v>
      </c>
      <c r="D388" s="1" t="s">
        <v>1711</v>
      </c>
      <c r="E388" s="17">
        <v>33584</v>
      </c>
      <c r="F388" s="18" t="str">
        <f t="shared" si="6"/>
        <v>PEPE1991_Diciembre</v>
      </c>
      <c r="G388" s="1" t="s">
        <v>1553</v>
      </c>
      <c r="H388" s="3">
        <v>4</v>
      </c>
      <c r="I388" s="3">
        <v>-77.75</v>
      </c>
      <c r="J388" s="12">
        <v>30.844999999999999</v>
      </c>
      <c r="K388" s="12">
        <v>28</v>
      </c>
      <c r="L388" s="4">
        <v>106.44233221344822</v>
      </c>
      <c r="M388" s="5">
        <v>60</v>
      </c>
      <c r="N388" s="5">
        <v>235</v>
      </c>
      <c r="O388" s="13">
        <v>0</v>
      </c>
      <c r="P388" s="13">
        <v>103.55064885498287</v>
      </c>
    </row>
    <row r="389" spans="1:16">
      <c r="A389" s="1" t="s">
        <v>397</v>
      </c>
      <c r="B389" s="1" t="s">
        <v>329</v>
      </c>
      <c r="C389" s="1">
        <v>1991</v>
      </c>
      <c r="D389" s="1" t="s">
        <v>1711</v>
      </c>
      <c r="E389" s="17">
        <v>33584</v>
      </c>
      <c r="F389" s="18" t="str">
        <f t="shared" si="6"/>
        <v>PEPE1991_Diciembre</v>
      </c>
      <c r="G389" s="1" t="s">
        <v>1554</v>
      </c>
      <c r="H389" s="3">
        <v>3.9888888888888889</v>
      </c>
      <c r="I389" s="3">
        <v>-78.080555555555549</v>
      </c>
      <c r="J389" s="12">
        <v>32.07</v>
      </c>
      <c r="K389" s="12">
        <v>26.89</v>
      </c>
      <c r="L389" s="4">
        <v>99.239402129721043</v>
      </c>
      <c r="M389" s="5">
        <v>64</v>
      </c>
      <c r="N389" s="5">
        <v>316</v>
      </c>
      <c r="O389" s="13">
        <v>0</v>
      </c>
      <c r="P389" s="13">
        <v>44.389784572624222</v>
      </c>
    </row>
    <row r="390" spans="1:16">
      <c r="A390" s="1" t="s">
        <v>398</v>
      </c>
      <c r="B390" s="1" t="s">
        <v>329</v>
      </c>
      <c r="C390" s="1">
        <v>1991</v>
      </c>
      <c r="D390" s="1" t="s">
        <v>1711</v>
      </c>
      <c r="E390" s="17">
        <v>33584</v>
      </c>
      <c r="F390" s="18" t="str">
        <f t="shared" si="6"/>
        <v>PEPE1991_Diciembre</v>
      </c>
      <c r="G390" s="1" t="s">
        <v>1417</v>
      </c>
      <c r="H390" s="3">
        <v>3.8333333333333335</v>
      </c>
      <c r="I390" s="3">
        <v>-77.286111111111111</v>
      </c>
      <c r="J390" s="12">
        <v>28.88</v>
      </c>
      <c r="K390" s="12">
        <v>26.78</v>
      </c>
      <c r="L390" s="4">
        <v>100.13718208528311</v>
      </c>
      <c r="M390" s="5">
        <v>504</v>
      </c>
      <c r="N390" s="5">
        <v>15</v>
      </c>
      <c r="O390" s="13">
        <v>14.019205491939635</v>
      </c>
      <c r="P390" s="13">
        <v>9.705603802112055</v>
      </c>
    </row>
    <row r="391" spans="1:16">
      <c r="A391" s="1" t="s">
        <v>399</v>
      </c>
      <c r="B391" s="1" t="s">
        <v>329</v>
      </c>
      <c r="C391" s="1">
        <v>1991</v>
      </c>
      <c r="D391" s="1" t="s">
        <v>1711</v>
      </c>
      <c r="E391" s="17">
        <v>33584</v>
      </c>
      <c r="F391" s="18" t="str">
        <f t="shared" si="6"/>
        <v>PEPE1991_Diciembre</v>
      </c>
      <c r="G391" s="1" t="s">
        <v>1418</v>
      </c>
      <c r="H391" s="3">
        <v>3.8361111111111112</v>
      </c>
      <c r="I391" s="3">
        <v>-77.3611111111111</v>
      </c>
      <c r="J391" s="12">
        <v>27.134999999999998</v>
      </c>
      <c r="K391" s="12">
        <v>28.44</v>
      </c>
      <c r="L391" s="4">
        <v>63.625243852495544</v>
      </c>
      <c r="M391" s="5">
        <v>26</v>
      </c>
      <c r="N391" s="5">
        <v>430</v>
      </c>
      <c r="O391" s="13">
        <v>2.9720058350654583</v>
      </c>
      <c r="P391" s="13">
        <v>83.216163381832828</v>
      </c>
    </row>
    <row r="392" spans="1:16">
      <c r="A392" s="1" t="s">
        <v>400</v>
      </c>
      <c r="B392" s="1" t="s">
        <v>329</v>
      </c>
      <c r="C392" s="1">
        <v>1991</v>
      </c>
      <c r="D392" s="1" t="s">
        <v>1711</v>
      </c>
      <c r="E392" s="17">
        <v>33584</v>
      </c>
      <c r="F392" s="18" t="str">
        <f t="shared" si="6"/>
        <v>PEPE1991_Diciembre</v>
      </c>
      <c r="G392" s="1" t="s">
        <v>1419</v>
      </c>
      <c r="H392" s="3">
        <v>3.8361111111111108</v>
      </c>
      <c r="I392" s="3">
        <v>-77.433333333333337</v>
      </c>
      <c r="J392" s="12">
        <v>29.57</v>
      </c>
      <c r="K392" s="12">
        <v>28.56</v>
      </c>
      <c r="L392" s="4">
        <v>132.7491129830382</v>
      </c>
      <c r="M392" s="5">
        <v>0</v>
      </c>
      <c r="N392" s="5">
        <v>417</v>
      </c>
      <c r="O392" s="1">
        <v>0</v>
      </c>
      <c r="P392" s="13">
        <v>2.7433000000000001</v>
      </c>
    </row>
    <row r="393" spans="1:16">
      <c r="A393" s="1" t="s">
        <v>401</v>
      </c>
      <c r="B393" s="1" t="s">
        <v>329</v>
      </c>
      <c r="C393" s="1">
        <v>1991</v>
      </c>
      <c r="D393" s="1" t="s">
        <v>1711</v>
      </c>
      <c r="E393" s="17">
        <v>33584</v>
      </c>
      <c r="F393" s="18" t="str">
        <f t="shared" si="6"/>
        <v>PEPE1991_Diciembre</v>
      </c>
      <c r="G393" s="1" t="s">
        <v>1420</v>
      </c>
      <c r="H393" s="3">
        <v>3.8416666666666663</v>
      </c>
      <c r="I393" s="3">
        <v>-77.599999999999994</v>
      </c>
      <c r="J393" s="12">
        <v>31.504999999999999</v>
      </c>
      <c r="K393" s="12">
        <v>28.22</v>
      </c>
      <c r="L393" s="4">
        <v>92.712975755962916</v>
      </c>
      <c r="M393" s="5">
        <v>226</v>
      </c>
      <c r="N393" s="5">
        <v>126</v>
      </c>
      <c r="O393" s="13">
        <v>0</v>
      </c>
      <c r="P393" s="13">
        <v>10.776956301873129</v>
      </c>
    </row>
    <row r="394" spans="1:16">
      <c r="A394" s="1" t="s">
        <v>402</v>
      </c>
      <c r="B394" s="1" t="s">
        <v>329</v>
      </c>
      <c r="C394" s="1">
        <v>1991</v>
      </c>
      <c r="D394" s="1" t="s">
        <v>1711</v>
      </c>
      <c r="E394" s="17">
        <v>33584</v>
      </c>
      <c r="F394" s="18" t="str">
        <f t="shared" si="6"/>
        <v>PEPE1991_Diciembre</v>
      </c>
      <c r="G394" s="1" t="s">
        <v>1421</v>
      </c>
      <c r="H394" s="3">
        <v>3.8361111111111112</v>
      </c>
      <c r="I394" s="3">
        <v>-77.933333333333337</v>
      </c>
      <c r="J394" s="12">
        <v>32.43</v>
      </c>
      <c r="K394" s="12">
        <v>27.67</v>
      </c>
      <c r="L394" s="4">
        <v>126.06439944932218</v>
      </c>
      <c r="M394" s="5">
        <v>80</v>
      </c>
      <c r="N394" s="5">
        <v>499</v>
      </c>
      <c r="O394" s="13">
        <v>0</v>
      </c>
      <c r="P394" s="13">
        <v>289.10096596914161</v>
      </c>
    </row>
    <row r="395" spans="1:16">
      <c r="A395" s="1" t="s">
        <v>403</v>
      </c>
      <c r="B395" s="1" t="s">
        <v>329</v>
      </c>
      <c r="C395" s="1">
        <v>1991</v>
      </c>
      <c r="D395" s="1" t="s">
        <v>1711</v>
      </c>
      <c r="E395" s="17">
        <v>33585</v>
      </c>
      <c r="F395" s="18" t="str">
        <f t="shared" si="6"/>
        <v>PEPE1991_Diciembre</v>
      </c>
      <c r="G395" s="1" t="s">
        <v>1555</v>
      </c>
      <c r="H395" s="3">
        <v>3.6694444444444443</v>
      </c>
      <c r="I395" s="3">
        <v>-77.286111111111111</v>
      </c>
      <c r="J395" s="12">
        <v>27.519999999999996</v>
      </c>
      <c r="K395" s="12">
        <v>28</v>
      </c>
      <c r="L395" s="4">
        <v>252.36492508834394</v>
      </c>
      <c r="M395" s="5">
        <v>420</v>
      </c>
      <c r="N395" s="5">
        <v>580</v>
      </c>
      <c r="O395" s="13">
        <v>73.715794618305253</v>
      </c>
      <c r="P395" s="13">
        <v>189.0970383686961</v>
      </c>
    </row>
    <row r="396" spans="1:16">
      <c r="A396" s="1" t="s">
        <v>404</v>
      </c>
      <c r="B396" s="1" t="s">
        <v>329</v>
      </c>
      <c r="C396" s="1">
        <v>1991</v>
      </c>
      <c r="D396" s="1" t="s">
        <v>1711</v>
      </c>
      <c r="E396" s="17">
        <v>33585</v>
      </c>
      <c r="F396" s="18" t="str">
        <f t="shared" si="6"/>
        <v>PEPE1991_Diciembre</v>
      </c>
      <c r="G396" s="1" t="s">
        <v>1424</v>
      </c>
      <c r="H396" s="3">
        <v>3.6666666666666665</v>
      </c>
      <c r="I396" s="3">
        <v>-77.388888888888886</v>
      </c>
      <c r="J396" s="12">
        <v>28.425000000000004</v>
      </c>
      <c r="K396" s="12">
        <v>27.78</v>
      </c>
      <c r="L396" s="4">
        <v>190.74831201811554</v>
      </c>
      <c r="M396" s="5">
        <v>905</v>
      </c>
      <c r="N396" s="5">
        <v>75</v>
      </c>
      <c r="O396" s="13">
        <v>53.084133185747326</v>
      </c>
      <c r="P396" s="13">
        <v>11.175606986473122</v>
      </c>
    </row>
    <row r="397" spans="1:16">
      <c r="A397" s="1" t="s">
        <v>405</v>
      </c>
      <c r="B397" s="1" t="s">
        <v>329</v>
      </c>
      <c r="C397" s="1">
        <v>1991</v>
      </c>
      <c r="D397" s="1" t="s">
        <v>1711</v>
      </c>
      <c r="E397" s="17">
        <v>33584</v>
      </c>
      <c r="F397" s="18" t="str">
        <f t="shared" si="6"/>
        <v>PEPE1991_Diciembre</v>
      </c>
      <c r="G397" s="1" t="s">
        <v>1556</v>
      </c>
      <c r="H397" s="3">
        <v>3.6722222222222221</v>
      </c>
      <c r="I397" s="3">
        <v>-77.536111111111111</v>
      </c>
      <c r="J397" s="12">
        <v>30.375000000000004</v>
      </c>
      <c r="K397" s="12">
        <v>27.78</v>
      </c>
      <c r="L397" s="4">
        <v>193.87239816902542</v>
      </c>
      <c r="M397" s="5">
        <v>5</v>
      </c>
      <c r="N397" s="5">
        <v>347</v>
      </c>
      <c r="O397" s="13">
        <v>0</v>
      </c>
      <c r="P397" s="13">
        <v>63.499332686613791</v>
      </c>
    </row>
    <row r="398" spans="1:16">
      <c r="A398" s="1" t="s">
        <v>406</v>
      </c>
      <c r="B398" s="1" t="s">
        <v>329</v>
      </c>
      <c r="C398" s="1">
        <v>1991</v>
      </c>
      <c r="D398" s="1" t="s">
        <v>1711</v>
      </c>
      <c r="E398" s="17">
        <v>33584</v>
      </c>
      <c r="F398" s="18" t="str">
        <f t="shared" si="6"/>
        <v>PEPE1991_Diciembre</v>
      </c>
      <c r="G398" s="1" t="s">
        <v>1557</v>
      </c>
      <c r="H398" s="3">
        <v>3.6666666666666665</v>
      </c>
      <c r="I398" s="3">
        <v>-77.875</v>
      </c>
      <c r="J398" s="12">
        <v>31.82</v>
      </c>
      <c r="K398" s="12">
        <v>27.56</v>
      </c>
      <c r="L398" s="4">
        <v>99.711727655187232</v>
      </c>
      <c r="M398" s="5">
        <v>64</v>
      </c>
      <c r="N398" s="5">
        <v>302</v>
      </c>
      <c r="O398" s="13">
        <v>0</v>
      </c>
      <c r="P398" s="13">
        <v>0</v>
      </c>
    </row>
    <row r="399" spans="1:16">
      <c r="A399" s="1" t="s">
        <v>407</v>
      </c>
      <c r="B399" s="1" t="s">
        <v>329</v>
      </c>
      <c r="C399" s="1">
        <v>1991</v>
      </c>
      <c r="D399" s="1" t="s">
        <v>1711</v>
      </c>
      <c r="E399" s="17">
        <v>33585</v>
      </c>
      <c r="F399" s="18" t="str">
        <f t="shared" si="6"/>
        <v>PEPE1991_Diciembre</v>
      </c>
      <c r="G399" s="1" t="s">
        <v>1428</v>
      </c>
      <c r="H399" s="3">
        <v>3.5</v>
      </c>
      <c r="I399" s="3">
        <v>-77.416666666666671</v>
      </c>
      <c r="J399" s="12">
        <v>28.244999999999997</v>
      </c>
      <c r="K399" s="12">
        <v>28</v>
      </c>
      <c r="L399" s="4">
        <v>250.73936142351357</v>
      </c>
      <c r="M399" s="5">
        <v>252</v>
      </c>
      <c r="N399" s="5">
        <v>1101</v>
      </c>
      <c r="O399" s="13">
        <v>15.512886092185036</v>
      </c>
      <c r="P399" s="13">
        <v>423.44433518297677</v>
      </c>
    </row>
    <row r="400" spans="1:16">
      <c r="A400" s="1" t="s">
        <v>408</v>
      </c>
      <c r="B400" s="1" t="s">
        <v>329</v>
      </c>
      <c r="C400" s="1">
        <v>1991</v>
      </c>
      <c r="D400" s="1" t="s">
        <v>1711</v>
      </c>
      <c r="E400" s="17">
        <v>33585</v>
      </c>
      <c r="F400" s="18" t="str">
        <f t="shared" si="6"/>
        <v>PEPE1991_Diciembre</v>
      </c>
      <c r="G400" s="1" t="s">
        <v>1429</v>
      </c>
      <c r="H400" s="3">
        <v>3.5083333333333333</v>
      </c>
      <c r="I400" s="3">
        <v>-77.522222222222226</v>
      </c>
      <c r="J400" s="12">
        <v>30.87</v>
      </c>
      <c r="K400" s="12">
        <v>27.33</v>
      </c>
      <c r="L400" s="4">
        <v>142.39956322066774</v>
      </c>
      <c r="M400" s="5">
        <v>10</v>
      </c>
      <c r="N400" s="5">
        <v>123</v>
      </c>
      <c r="O400" s="13">
        <v>0</v>
      </c>
      <c r="P400" s="13">
        <v>10.045641914476196</v>
      </c>
    </row>
    <row r="401" spans="1:16">
      <c r="A401" s="1" t="s">
        <v>409</v>
      </c>
      <c r="B401" s="1" t="s">
        <v>329</v>
      </c>
      <c r="C401" s="1">
        <v>1991</v>
      </c>
      <c r="D401" s="1" t="s">
        <v>1711</v>
      </c>
      <c r="E401" s="17">
        <v>33585</v>
      </c>
      <c r="F401" s="18" t="str">
        <f t="shared" si="6"/>
        <v>PEPE1991_Diciembre</v>
      </c>
      <c r="G401" s="1" t="s">
        <v>1430</v>
      </c>
      <c r="H401" s="3">
        <v>3.5194444444444444</v>
      </c>
      <c r="I401" s="3">
        <v>-77.666666666666671</v>
      </c>
      <c r="J401" s="12">
        <v>31.580000000000002</v>
      </c>
      <c r="K401" s="12">
        <v>27.22</v>
      </c>
      <c r="L401" s="4">
        <v>143.43903197816871</v>
      </c>
      <c r="M401" s="5">
        <v>38</v>
      </c>
      <c r="N401" s="5">
        <v>211</v>
      </c>
      <c r="O401" s="13">
        <v>0</v>
      </c>
      <c r="P401" s="13">
        <v>31.813714781409832</v>
      </c>
    </row>
    <row r="402" spans="1:16">
      <c r="A402" s="1" t="s">
        <v>410</v>
      </c>
      <c r="B402" s="1" t="s">
        <v>329</v>
      </c>
      <c r="C402" s="1">
        <v>1991</v>
      </c>
      <c r="D402" s="1" t="s">
        <v>1711</v>
      </c>
      <c r="E402" s="17">
        <v>33585</v>
      </c>
      <c r="F402" s="18" t="str">
        <f t="shared" si="6"/>
        <v>PEPE1991_Diciembre</v>
      </c>
      <c r="G402" s="1" t="s">
        <v>1431</v>
      </c>
      <c r="H402" s="3">
        <v>3.5</v>
      </c>
      <c r="I402" s="3">
        <v>-78.00833333333334</v>
      </c>
      <c r="J402" s="12">
        <v>33.340000000000003</v>
      </c>
      <c r="K402" s="12">
        <v>27.44</v>
      </c>
      <c r="L402" s="4">
        <v>98.110704050781123</v>
      </c>
      <c r="M402" s="5">
        <v>27</v>
      </c>
      <c r="N402" s="5">
        <v>147</v>
      </c>
      <c r="O402" s="13">
        <v>0</v>
      </c>
      <c r="P402" s="13">
        <v>0</v>
      </c>
    </row>
    <row r="403" spans="1:16">
      <c r="A403" s="1" t="s">
        <v>411</v>
      </c>
      <c r="B403" s="1" t="s">
        <v>329</v>
      </c>
      <c r="C403" s="1">
        <v>1991</v>
      </c>
      <c r="D403" s="1" t="s">
        <v>1711</v>
      </c>
      <c r="E403" s="17">
        <v>33585</v>
      </c>
      <c r="F403" s="18" t="str">
        <f t="shared" si="6"/>
        <v>PEPE1991_Diciembre</v>
      </c>
      <c r="G403" s="1" t="s">
        <v>1558</v>
      </c>
      <c r="H403" s="3">
        <v>3.338888888888889</v>
      </c>
      <c r="I403" s="3">
        <v>-77.5</v>
      </c>
      <c r="J403" s="12">
        <v>25.790000000000003</v>
      </c>
      <c r="K403" s="12">
        <v>28.44</v>
      </c>
      <c r="L403" s="4">
        <v>107.6027607575766</v>
      </c>
      <c r="M403" s="5">
        <v>5</v>
      </c>
      <c r="N403" s="5">
        <v>6</v>
      </c>
      <c r="O403" s="13">
        <v>0.60257546024242892</v>
      </c>
      <c r="P403" s="13">
        <v>5.7244668723030747</v>
      </c>
    </row>
    <row r="404" spans="1:16">
      <c r="A404" s="1" t="s">
        <v>412</v>
      </c>
      <c r="B404" s="1" t="s">
        <v>329</v>
      </c>
      <c r="C404" s="1">
        <v>1991</v>
      </c>
      <c r="D404" s="1" t="s">
        <v>1711</v>
      </c>
      <c r="E404" s="17">
        <v>33585</v>
      </c>
      <c r="F404" s="18" t="str">
        <f t="shared" si="6"/>
        <v>PEPE1991_Diciembre</v>
      </c>
      <c r="G404" s="1" t="s">
        <v>1559</v>
      </c>
      <c r="H404" s="3">
        <v>3.3416666666666668</v>
      </c>
      <c r="I404" s="3">
        <v>-77.538888888888891</v>
      </c>
      <c r="J404" s="12">
        <v>29.359999999999996</v>
      </c>
      <c r="K404" s="12">
        <v>28.33</v>
      </c>
      <c r="L404" s="4">
        <v>196.77408680161878</v>
      </c>
      <c r="M404" s="5">
        <v>72</v>
      </c>
      <c r="N404" s="5">
        <v>221</v>
      </c>
      <c r="O404" s="13">
        <v>1.8122893394429089</v>
      </c>
      <c r="P404" s="13">
        <v>77.928441596045076</v>
      </c>
    </row>
    <row r="405" spans="1:16">
      <c r="A405" s="1" t="s">
        <v>413</v>
      </c>
      <c r="B405" s="1" t="s">
        <v>329</v>
      </c>
      <c r="C405" s="1">
        <v>1991</v>
      </c>
      <c r="D405" s="1" t="s">
        <v>1711</v>
      </c>
      <c r="E405" s="17">
        <v>33585</v>
      </c>
      <c r="F405" s="18" t="str">
        <f t="shared" si="6"/>
        <v>PEPE1991_Diciembre</v>
      </c>
      <c r="G405" s="1" t="s">
        <v>1434</v>
      </c>
      <c r="H405" s="3">
        <v>3.3416666666666663</v>
      </c>
      <c r="I405" s="3">
        <v>-77.62222222222222</v>
      </c>
      <c r="J405" s="12">
        <v>30.749999999999996</v>
      </c>
      <c r="K405" s="12">
        <v>27.56</v>
      </c>
      <c r="L405" s="4">
        <v>142.42497705227407</v>
      </c>
      <c r="M405" s="5">
        <v>16</v>
      </c>
      <c r="N405" s="5">
        <v>159</v>
      </c>
      <c r="O405" s="13">
        <v>0</v>
      </c>
      <c r="P405" s="13">
        <v>3.1760769882657121</v>
      </c>
    </row>
    <row r="406" spans="1:16">
      <c r="A406" s="1" t="s">
        <v>414</v>
      </c>
      <c r="B406" s="1" t="s">
        <v>329</v>
      </c>
      <c r="C406" s="1">
        <v>1991</v>
      </c>
      <c r="D406" s="1" t="s">
        <v>1711</v>
      </c>
      <c r="E406" s="17">
        <v>33585</v>
      </c>
      <c r="F406" s="18" t="str">
        <f t="shared" si="6"/>
        <v>PEPE1991_Diciembre</v>
      </c>
      <c r="G406" s="1" t="s">
        <v>1560</v>
      </c>
      <c r="H406" s="3">
        <v>3.3333333333333335</v>
      </c>
      <c r="I406" s="3">
        <v>-77.788888888888891</v>
      </c>
      <c r="J406" s="12">
        <v>32.924999999999997</v>
      </c>
      <c r="K406" s="12">
        <v>27.78</v>
      </c>
      <c r="L406" s="4">
        <v>127.58904194266218</v>
      </c>
      <c r="M406" s="5">
        <v>35</v>
      </c>
      <c r="N406" s="5">
        <v>267</v>
      </c>
      <c r="O406" s="13">
        <v>0</v>
      </c>
      <c r="P406" s="13">
        <v>10.093143811277528</v>
      </c>
    </row>
    <row r="407" spans="1:16">
      <c r="A407" s="1" t="s">
        <v>415</v>
      </c>
      <c r="B407" s="1" t="s">
        <v>329</v>
      </c>
      <c r="C407" s="1">
        <v>1991</v>
      </c>
      <c r="D407" s="1" t="s">
        <v>1711</v>
      </c>
      <c r="E407" s="17">
        <v>33585</v>
      </c>
      <c r="F407" s="18" t="str">
        <f t="shared" si="6"/>
        <v>PEPE1991_Diciembre</v>
      </c>
      <c r="G407" s="1" t="s">
        <v>1561</v>
      </c>
      <c r="H407" s="3">
        <v>3.3388888888888886</v>
      </c>
      <c r="I407" s="3">
        <v>-78.141666666666666</v>
      </c>
      <c r="J407" s="12">
        <v>33</v>
      </c>
      <c r="K407" s="12">
        <v>27.44</v>
      </c>
      <c r="L407" s="4">
        <v>61.613487960465065</v>
      </c>
      <c r="M407" s="5">
        <v>140</v>
      </c>
      <c r="N407" s="5">
        <v>113</v>
      </c>
      <c r="O407" s="13">
        <v>0</v>
      </c>
      <c r="P407" s="13">
        <v>0</v>
      </c>
    </row>
    <row r="408" spans="1:16">
      <c r="A408" s="1" t="s">
        <v>416</v>
      </c>
      <c r="B408" s="1" t="s">
        <v>329</v>
      </c>
      <c r="C408" s="1">
        <v>1991</v>
      </c>
      <c r="D408" s="1" t="s">
        <v>1711</v>
      </c>
      <c r="E408" s="17">
        <v>33585</v>
      </c>
      <c r="F408" s="18" t="str">
        <f t="shared" si="6"/>
        <v>PEPE1991_Diciembre</v>
      </c>
      <c r="G408" s="1" t="s">
        <v>1437</v>
      </c>
      <c r="H408" s="3">
        <v>3.1666666666666665</v>
      </c>
      <c r="I408" s="3">
        <v>-77.61944444444444</v>
      </c>
      <c r="J408" s="12">
        <v>24.734999999999999</v>
      </c>
      <c r="K408" s="12">
        <v>28.33</v>
      </c>
      <c r="L408" s="4">
        <v>74.350665986610878</v>
      </c>
      <c r="M408" s="5">
        <v>55</v>
      </c>
      <c r="N408" s="5">
        <v>39</v>
      </c>
      <c r="O408" s="13">
        <v>2.208214779802343</v>
      </c>
      <c r="P408" s="13">
        <v>22.523790753983899</v>
      </c>
    </row>
    <row r="409" spans="1:16">
      <c r="A409" s="1" t="s">
        <v>417</v>
      </c>
      <c r="B409" s="1" t="s">
        <v>329</v>
      </c>
      <c r="C409" s="1">
        <v>1991</v>
      </c>
      <c r="D409" s="1" t="s">
        <v>1711</v>
      </c>
      <c r="E409" s="17">
        <v>33585</v>
      </c>
      <c r="F409" s="18" t="str">
        <f t="shared" si="6"/>
        <v>PEPE1991_Diciembre</v>
      </c>
      <c r="G409" s="1" t="s">
        <v>1438</v>
      </c>
      <c r="H409" s="3">
        <v>3.1666666666666665</v>
      </c>
      <c r="I409" s="3">
        <v>-77.650000000000006</v>
      </c>
      <c r="J409" s="12">
        <v>29.545000000000002</v>
      </c>
      <c r="K409" s="12">
        <v>28.11</v>
      </c>
      <c r="L409" s="4">
        <v>105.18269866618871</v>
      </c>
      <c r="M409" s="5">
        <v>41</v>
      </c>
      <c r="N409" s="5">
        <v>27</v>
      </c>
      <c r="O409" s="13">
        <v>8.8241272001021258</v>
      </c>
      <c r="P409" s="13">
        <v>2.8076768363961309</v>
      </c>
    </row>
    <row r="410" spans="1:16">
      <c r="A410" s="1" t="s">
        <v>418</v>
      </c>
      <c r="B410" s="1" t="s">
        <v>329</v>
      </c>
      <c r="C410" s="1">
        <v>1991</v>
      </c>
      <c r="D410" s="1" t="s">
        <v>1711</v>
      </c>
      <c r="E410" s="17">
        <v>33585</v>
      </c>
      <c r="F410" s="18" t="str">
        <f t="shared" si="6"/>
        <v>PEPE1991_Diciembre</v>
      </c>
      <c r="G410" s="1" t="s">
        <v>1439</v>
      </c>
      <c r="H410" s="3">
        <v>3.1888888888888887</v>
      </c>
      <c r="I410" s="3">
        <v>-77.74722222222222</v>
      </c>
      <c r="J410" s="12">
        <v>33.19</v>
      </c>
      <c r="K410" s="12">
        <v>27.56</v>
      </c>
      <c r="L410" s="4">
        <v>310.2224189330172</v>
      </c>
      <c r="M410" s="5">
        <v>0</v>
      </c>
      <c r="N410" s="5">
        <v>249</v>
      </c>
      <c r="O410" s="1">
        <v>0</v>
      </c>
      <c r="P410" s="13">
        <v>22.875801172120688</v>
      </c>
    </row>
    <row r="411" spans="1:16">
      <c r="A411" s="1" t="s">
        <v>419</v>
      </c>
      <c r="B411" s="1" t="s">
        <v>329</v>
      </c>
      <c r="C411" s="1">
        <v>1991</v>
      </c>
      <c r="D411" s="1" t="s">
        <v>1711</v>
      </c>
      <c r="E411" s="17">
        <v>33585</v>
      </c>
      <c r="F411" s="18" t="str">
        <f t="shared" si="6"/>
        <v>PEPE1991_Diciembre</v>
      </c>
      <c r="G411" s="1" t="s">
        <v>1440</v>
      </c>
      <c r="H411" s="3">
        <v>3.1749999999999998</v>
      </c>
      <c r="I411" s="3">
        <v>-77.88611111111112</v>
      </c>
      <c r="J411" s="12">
        <v>32.21</v>
      </c>
      <c r="K411" s="12">
        <v>27.11</v>
      </c>
      <c r="L411" s="4">
        <v>168.27330110622302</v>
      </c>
      <c r="M411" s="5">
        <v>34</v>
      </c>
      <c r="N411" s="5">
        <v>451</v>
      </c>
      <c r="O411" s="13">
        <v>0</v>
      </c>
      <c r="P411" s="13">
        <v>51.063542860490017</v>
      </c>
    </row>
    <row r="412" spans="1:16">
      <c r="A412" s="1" t="s">
        <v>420</v>
      </c>
      <c r="B412" s="1" t="s">
        <v>329</v>
      </c>
      <c r="C412" s="1">
        <v>1991</v>
      </c>
      <c r="D412" s="1" t="s">
        <v>1711</v>
      </c>
      <c r="E412" s="17">
        <v>33586</v>
      </c>
      <c r="F412" s="18" t="str">
        <f t="shared" si="6"/>
        <v>PEPE1991_Diciembre</v>
      </c>
      <c r="G412" s="1" t="s">
        <v>1441</v>
      </c>
      <c r="H412" s="3">
        <v>3.1666666666666665</v>
      </c>
      <c r="I412" s="3">
        <v>-78.241666666666674</v>
      </c>
      <c r="J412" s="12">
        <v>32.51</v>
      </c>
      <c r="K412" s="12">
        <v>26.89</v>
      </c>
      <c r="L412" s="4">
        <v>111.70463582080322</v>
      </c>
      <c r="M412" s="5">
        <v>120</v>
      </c>
      <c r="N412" s="5">
        <v>186</v>
      </c>
      <c r="O412" s="13">
        <v>0</v>
      </c>
      <c r="P412" s="13">
        <v>20.080025335147585</v>
      </c>
    </row>
    <row r="413" spans="1:16">
      <c r="A413" s="1" t="s">
        <v>421</v>
      </c>
      <c r="B413" s="1" t="s">
        <v>329</v>
      </c>
      <c r="C413" s="1">
        <v>1991</v>
      </c>
      <c r="D413" s="1" t="s">
        <v>1711</v>
      </c>
      <c r="E413" s="17">
        <v>33586</v>
      </c>
      <c r="F413" s="18" t="str">
        <f t="shared" si="6"/>
        <v>PEPE1991_Diciembre</v>
      </c>
      <c r="G413" s="1" t="s">
        <v>1562</v>
      </c>
      <c r="H413" s="3">
        <v>3.0055555555555555</v>
      </c>
      <c r="I413" s="3">
        <v>-77.733333333333334</v>
      </c>
      <c r="J413" s="12">
        <v>30.015000000000001</v>
      </c>
      <c r="K413" s="12">
        <v>27.56</v>
      </c>
      <c r="L413" s="4">
        <v>138.37121450119702</v>
      </c>
      <c r="M413" s="5">
        <v>1748</v>
      </c>
      <c r="N413" s="5">
        <v>61</v>
      </c>
      <c r="O413" s="13">
        <v>150.54788137730236</v>
      </c>
      <c r="P413" s="13">
        <v>28.043232805575929</v>
      </c>
    </row>
    <row r="414" spans="1:16">
      <c r="A414" s="1" t="s">
        <v>422</v>
      </c>
      <c r="B414" s="1" t="s">
        <v>329</v>
      </c>
      <c r="C414" s="1">
        <v>1991</v>
      </c>
      <c r="D414" s="1" t="s">
        <v>1711</v>
      </c>
      <c r="E414" s="17">
        <v>33586</v>
      </c>
      <c r="F414" s="18" t="str">
        <f t="shared" si="6"/>
        <v>PEPE1991_Diciembre</v>
      </c>
      <c r="G414" s="1" t="s">
        <v>1443</v>
      </c>
      <c r="H414" s="3">
        <v>3</v>
      </c>
      <c r="I414" s="3">
        <v>-77.802777777777777</v>
      </c>
      <c r="J414" s="12">
        <v>31.349999999999998</v>
      </c>
      <c r="K414" s="12">
        <v>26.67</v>
      </c>
      <c r="L414" s="4">
        <v>124.75372989949193</v>
      </c>
      <c r="M414" s="5">
        <v>678</v>
      </c>
      <c r="N414" s="5">
        <v>314</v>
      </c>
      <c r="O414" s="13">
        <v>0</v>
      </c>
      <c r="P414" s="13">
        <v>56.538390390449742</v>
      </c>
    </row>
    <row r="415" spans="1:16">
      <c r="A415" s="1" t="s">
        <v>423</v>
      </c>
      <c r="B415" s="1" t="s">
        <v>329</v>
      </c>
      <c r="C415" s="1">
        <v>1991</v>
      </c>
      <c r="D415" s="1" t="s">
        <v>1711</v>
      </c>
      <c r="E415" s="17">
        <v>33586</v>
      </c>
      <c r="F415" s="18" t="str">
        <f t="shared" si="6"/>
        <v>PEPE1991_Diciembre</v>
      </c>
      <c r="G415" s="1" t="s">
        <v>1444</v>
      </c>
      <c r="H415" s="3">
        <v>3.0083333333333333</v>
      </c>
      <c r="I415" s="3">
        <v>-77.86944444444444</v>
      </c>
      <c r="J415" s="12">
        <v>32.17</v>
      </c>
      <c r="K415" s="12">
        <v>27.33</v>
      </c>
      <c r="L415" s="4">
        <v>108.15805023396317</v>
      </c>
      <c r="M415" s="5">
        <v>15</v>
      </c>
      <c r="N415" s="5">
        <v>53</v>
      </c>
      <c r="O415" s="13">
        <v>0</v>
      </c>
      <c r="P415" s="13">
        <v>0</v>
      </c>
    </row>
    <row r="416" spans="1:16">
      <c r="A416" s="1" t="s">
        <v>424</v>
      </c>
      <c r="B416" s="1" t="s">
        <v>329</v>
      </c>
      <c r="C416" s="1">
        <v>1991</v>
      </c>
      <c r="D416" s="1" t="s">
        <v>1711</v>
      </c>
      <c r="E416" s="17">
        <v>33586</v>
      </c>
      <c r="F416" s="18" t="str">
        <f t="shared" si="6"/>
        <v>PEPE1991_Diciembre</v>
      </c>
      <c r="G416" s="1" t="s">
        <v>1445</v>
      </c>
      <c r="H416" s="3">
        <v>3.0138888888888888</v>
      </c>
      <c r="I416" s="3">
        <v>-78.033333333333331</v>
      </c>
      <c r="J416" s="12">
        <v>31.48</v>
      </c>
      <c r="K416" s="12">
        <v>27.22</v>
      </c>
      <c r="L416" s="4">
        <v>179.27085743604712</v>
      </c>
      <c r="M416" s="5">
        <v>8</v>
      </c>
      <c r="N416" s="5">
        <v>439</v>
      </c>
      <c r="O416" s="13">
        <v>0</v>
      </c>
      <c r="P416" s="13">
        <v>37.502306789444049</v>
      </c>
    </row>
    <row r="417" spans="1:16">
      <c r="A417" s="1" t="s">
        <v>425</v>
      </c>
      <c r="B417" s="1" t="s">
        <v>329</v>
      </c>
      <c r="C417" s="1">
        <v>1991</v>
      </c>
      <c r="D417" s="1" t="s">
        <v>1711</v>
      </c>
      <c r="E417" s="17">
        <v>33586</v>
      </c>
      <c r="F417" s="18" t="str">
        <f t="shared" si="6"/>
        <v>PEPE1991_Diciembre</v>
      </c>
      <c r="G417" s="1" t="s">
        <v>1563</v>
      </c>
      <c r="H417" s="3">
        <v>3.0055555555555555</v>
      </c>
      <c r="I417" s="3">
        <v>-78.241666666666674</v>
      </c>
      <c r="J417" s="12">
        <v>32.42</v>
      </c>
      <c r="K417" s="12">
        <v>27.22</v>
      </c>
      <c r="L417" s="4">
        <v>122.93250756519278</v>
      </c>
      <c r="M417" s="5">
        <v>31</v>
      </c>
      <c r="N417" s="5">
        <v>312</v>
      </c>
      <c r="O417" s="13">
        <v>0</v>
      </c>
      <c r="P417" s="13">
        <v>54.987710633910723</v>
      </c>
    </row>
    <row r="418" spans="1:16">
      <c r="A418" s="1" t="s">
        <v>426</v>
      </c>
      <c r="B418" s="1" t="s">
        <v>329</v>
      </c>
      <c r="C418" s="1">
        <v>1991</v>
      </c>
      <c r="D418" s="1" t="s">
        <v>1711</v>
      </c>
      <c r="E418" s="17">
        <v>33586</v>
      </c>
      <c r="F418" s="18" t="str">
        <f t="shared" si="6"/>
        <v>PEPE1991_Diciembre</v>
      </c>
      <c r="G418" s="1" t="s">
        <v>1564</v>
      </c>
      <c r="H418" s="3">
        <v>2.8416666666666668</v>
      </c>
      <c r="I418" s="3">
        <v>-77.813888888888883</v>
      </c>
      <c r="J418" s="12">
        <v>28.52</v>
      </c>
      <c r="K418" s="12">
        <v>27.22</v>
      </c>
      <c r="L418" s="4">
        <v>176.10464278758153</v>
      </c>
      <c r="M418" s="5">
        <v>770</v>
      </c>
      <c r="N418" s="5">
        <v>30</v>
      </c>
      <c r="O418" s="13">
        <v>243.44412311217289</v>
      </c>
      <c r="P418" s="13">
        <v>20.216812992014358</v>
      </c>
    </row>
    <row r="419" spans="1:16">
      <c r="A419" s="1" t="s">
        <v>427</v>
      </c>
      <c r="B419" s="1" t="s">
        <v>329</v>
      </c>
      <c r="C419" s="1">
        <v>1991</v>
      </c>
      <c r="D419" s="1" t="s">
        <v>1711</v>
      </c>
      <c r="E419" s="17">
        <v>33586</v>
      </c>
      <c r="F419" s="18" t="str">
        <f t="shared" si="6"/>
        <v>PEPE1991_Diciembre</v>
      </c>
      <c r="G419" s="1" t="s">
        <v>1447</v>
      </c>
      <c r="H419" s="3">
        <v>2.8472222222222223</v>
      </c>
      <c r="I419" s="3">
        <v>-77.833333333333329</v>
      </c>
      <c r="J419" s="12">
        <v>31.67</v>
      </c>
      <c r="K419" s="12">
        <v>27.33</v>
      </c>
      <c r="L419" s="4">
        <v>136.92482549944236</v>
      </c>
      <c r="M419" s="5">
        <v>716</v>
      </c>
      <c r="N419" s="5">
        <v>46</v>
      </c>
      <c r="O419" s="13">
        <v>155.67804959984599</v>
      </c>
      <c r="P419" s="13">
        <v>17.411360810509091</v>
      </c>
    </row>
    <row r="420" spans="1:16">
      <c r="A420" s="1" t="s">
        <v>428</v>
      </c>
      <c r="B420" s="1" t="s">
        <v>329</v>
      </c>
      <c r="C420" s="1">
        <v>1991</v>
      </c>
      <c r="D420" s="1" t="s">
        <v>1711</v>
      </c>
      <c r="E420" s="17">
        <v>33587</v>
      </c>
      <c r="F420" s="18" t="str">
        <f t="shared" si="6"/>
        <v>PEPE1991_Diciembre</v>
      </c>
      <c r="G420" s="1" t="s">
        <v>1448</v>
      </c>
      <c r="H420" s="3">
        <v>2.8416666666666663</v>
      </c>
      <c r="I420" s="3">
        <v>-77.908333333333346</v>
      </c>
      <c r="J420" s="12">
        <v>30.78</v>
      </c>
      <c r="K420" s="12">
        <v>27.22</v>
      </c>
      <c r="L420" s="4">
        <v>114.91982917351265</v>
      </c>
      <c r="M420" s="5">
        <v>286</v>
      </c>
      <c r="N420" s="5">
        <v>143</v>
      </c>
      <c r="O420" s="13">
        <v>47.746537025536654</v>
      </c>
      <c r="P420" s="13">
        <v>45.472892405273008</v>
      </c>
    </row>
    <row r="421" spans="1:16">
      <c r="A421" s="1" t="s">
        <v>429</v>
      </c>
      <c r="B421" s="1" t="s">
        <v>329</v>
      </c>
      <c r="C421" s="1">
        <v>1991</v>
      </c>
      <c r="D421" s="1" t="s">
        <v>1711</v>
      </c>
      <c r="E421" s="17">
        <v>33587</v>
      </c>
      <c r="F421" s="18" t="str">
        <f t="shared" si="6"/>
        <v>PEPE1991_Diciembre</v>
      </c>
      <c r="G421" s="1" t="s">
        <v>1449</v>
      </c>
      <c r="H421" s="3">
        <v>2.8388888888888886</v>
      </c>
      <c r="I421" s="3">
        <v>-78.080555555555549</v>
      </c>
      <c r="J421" s="12">
        <v>32.049999999999997</v>
      </c>
      <c r="K421" s="12">
        <v>27.22</v>
      </c>
      <c r="L421" s="4">
        <v>215.69770109551948</v>
      </c>
      <c r="M421" s="5">
        <v>25</v>
      </c>
      <c r="N421" s="5">
        <v>62</v>
      </c>
      <c r="O421" s="13">
        <v>0</v>
      </c>
      <c r="P421" s="13">
        <v>3.121145734852167</v>
      </c>
    </row>
    <row r="422" spans="1:16">
      <c r="A422" s="1" t="s">
        <v>430</v>
      </c>
      <c r="B422" s="1" t="s">
        <v>329</v>
      </c>
      <c r="C422" s="1">
        <v>1991</v>
      </c>
      <c r="D422" s="1" t="s">
        <v>1711</v>
      </c>
      <c r="E422" s="17">
        <v>33587</v>
      </c>
      <c r="F422" s="18" t="str">
        <f t="shared" si="6"/>
        <v>PEPE1991_Diciembre</v>
      </c>
      <c r="G422" s="1" t="s">
        <v>1450</v>
      </c>
      <c r="H422" s="3">
        <v>2.8361111111111112</v>
      </c>
      <c r="I422" s="3">
        <v>-78.419444444444451</v>
      </c>
      <c r="J422" s="12">
        <v>31.42</v>
      </c>
      <c r="K422" s="12">
        <v>26.78</v>
      </c>
      <c r="L422" s="4">
        <v>127.39372328322722</v>
      </c>
      <c r="M422" s="5">
        <v>50</v>
      </c>
      <c r="N422" s="5">
        <v>643</v>
      </c>
      <c r="O422" s="13">
        <v>0</v>
      </c>
      <c r="P422" s="13">
        <v>203.37388772380962</v>
      </c>
    </row>
    <row r="423" spans="1:16">
      <c r="A423" s="1" t="s">
        <v>431</v>
      </c>
      <c r="B423" s="1" t="s">
        <v>329</v>
      </c>
      <c r="C423" s="1">
        <v>1991</v>
      </c>
      <c r="D423" s="1" t="s">
        <v>1711</v>
      </c>
      <c r="E423" s="17">
        <v>33586</v>
      </c>
      <c r="F423" s="18" t="str">
        <f t="shared" si="6"/>
        <v>PEPE1991_Diciembre</v>
      </c>
      <c r="G423" s="1" t="s">
        <v>1565</v>
      </c>
      <c r="H423" s="3">
        <v>2.6666666666666665</v>
      </c>
      <c r="I423" s="3">
        <v>-78.45</v>
      </c>
      <c r="J423" s="12">
        <v>30.03</v>
      </c>
      <c r="K423" s="12">
        <v>27.78</v>
      </c>
      <c r="L423" s="4">
        <v>219.64881000576969</v>
      </c>
      <c r="M423" s="5">
        <v>7</v>
      </c>
      <c r="N423" s="5">
        <v>38</v>
      </c>
      <c r="O423" s="13">
        <v>0</v>
      </c>
      <c r="P423" s="13">
        <v>3.7137544953283217</v>
      </c>
    </row>
    <row r="424" spans="1:16">
      <c r="A424" s="1" t="s">
        <v>432</v>
      </c>
      <c r="B424" s="1" t="s">
        <v>329</v>
      </c>
      <c r="C424" s="1">
        <v>1991</v>
      </c>
      <c r="D424" s="1" t="s">
        <v>1711</v>
      </c>
      <c r="E424" s="17">
        <v>33586</v>
      </c>
      <c r="F424" s="18" t="str">
        <f t="shared" si="6"/>
        <v>PEPE1991_Diciembre</v>
      </c>
      <c r="G424" s="1" t="s">
        <v>1522</v>
      </c>
      <c r="H424" s="3">
        <v>2.6694444444444443</v>
      </c>
      <c r="I424" s="3">
        <v>-78.538888888888891</v>
      </c>
      <c r="J424" s="12">
        <v>30.93</v>
      </c>
      <c r="K424" s="12">
        <v>27.33</v>
      </c>
      <c r="L424" s="4">
        <v>197.23065284647814</v>
      </c>
      <c r="M424" s="5">
        <v>14</v>
      </c>
      <c r="N424" s="5">
        <v>389</v>
      </c>
      <c r="O424" s="13">
        <v>0</v>
      </c>
      <c r="P424" s="13">
        <v>110.78445770386678</v>
      </c>
    </row>
    <row r="425" spans="1:16">
      <c r="A425" s="1" t="s">
        <v>433</v>
      </c>
      <c r="B425" s="1" t="s">
        <v>329</v>
      </c>
      <c r="C425" s="1">
        <v>1991</v>
      </c>
      <c r="D425" s="1" t="s">
        <v>1711</v>
      </c>
      <c r="E425" s="17">
        <v>33586</v>
      </c>
      <c r="F425" s="18" t="str">
        <f t="shared" si="6"/>
        <v>PEPE1991_Diciembre</v>
      </c>
      <c r="G425" s="1" t="s">
        <v>1453</v>
      </c>
      <c r="H425" s="3">
        <v>2.6694444444444443</v>
      </c>
      <c r="I425" s="3">
        <v>-78.61944444444444</v>
      </c>
      <c r="J425" s="12">
        <v>32.22</v>
      </c>
      <c r="K425" s="12">
        <v>27.22</v>
      </c>
      <c r="L425" s="4">
        <v>99.638501314249368</v>
      </c>
      <c r="M425" s="5">
        <v>87</v>
      </c>
      <c r="N425" s="5">
        <v>339</v>
      </c>
      <c r="O425" s="13">
        <v>3.4977099501354099</v>
      </c>
      <c r="P425" s="13">
        <v>125.91755820487475</v>
      </c>
    </row>
    <row r="426" spans="1:16">
      <c r="A426" s="1" t="s">
        <v>434</v>
      </c>
      <c r="B426" s="1" t="s">
        <v>329</v>
      </c>
      <c r="C426" s="1">
        <v>1991</v>
      </c>
      <c r="D426" s="1" t="s">
        <v>1711</v>
      </c>
      <c r="E426" s="17">
        <v>33586</v>
      </c>
      <c r="F426" s="18" t="str">
        <f t="shared" si="6"/>
        <v>PEPE1991_Diciembre</v>
      </c>
      <c r="G426" s="1" t="s">
        <v>1454</v>
      </c>
      <c r="H426" s="3">
        <v>2.6722222222222221</v>
      </c>
      <c r="I426" s="3">
        <v>-78.788888888888891</v>
      </c>
      <c r="J426" s="12">
        <v>32.114999999999995</v>
      </c>
      <c r="K426" s="12">
        <v>27.44</v>
      </c>
      <c r="L426" s="4">
        <v>103.31609560068928</v>
      </c>
      <c r="M426" s="5">
        <v>5182</v>
      </c>
      <c r="N426" s="5">
        <v>86</v>
      </c>
      <c r="O426" s="13">
        <v>0</v>
      </c>
      <c r="P426" s="13">
        <v>0</v>
      </c>
    </row>
    <row r="427" spans="1:16">
      <c r="A427" s="1" t="s">
        <v>435</v>
      </c>
      <c r="B427" s="1" t="s">
        <v>329</v>
      </c>
      <c r="C427" s="1">
        <v>1991</v>
      </c>
      <c r="D427" s="1" t="s">
        <v>1711</v>
      </c>
      <c r="E427" s="17">
        <v>33586</v>
      </c>
      <c r="F427" s="18" t="str">
        <f t="shared" si="6"/>
        <v>PEPE1991_Diciembre</v>
      </c>
      <c r="G427" s="1" t="s">
        <v>1566</v>
      </c>
      <c r="H427" s="3">
        <v>2.6749999999999998</v>
      </c>
      <c r="I427" s="3">
        <v>-78.958333333333343</v>
      </c>
      <c r="J427" s="12">
        <v>32.380000000000003</v>
      </c>
      <c r="K427" s="12">
        <v>27.33</v>
      </c>
      <c r="L427" s="4">
        <v>89.996556425762861</v>
      </c>
      <c r="M427" s="5">
        <v>236</v>
      </c>
      <c r="N427" s="5">
        <v>75</v>
      </c>
      <c r="O427" s="13">
        <v>0</v>
      </c>
      <c r="P427" s="13">
        <v>0</v>
      </c>
    </row>
    <row r="428" spans="1:16">
      <c r="A428" s="1" t="s">
        <v>436</v>
      </c>
      <c r="B428" s="1" t="s">
        <v>329</v>
      </c>
      <c r="C428" s="1">
        <v>1991</v>
      </c>
      <c r="D428" s="1" t="s">
        <v>1711</v>
      </c>
      <c r="E428" s="17">
        <v>33587</v>
      </c>
      <c r="F428" s="18" t="str">
        <f t="shared" si="6"/>
        <v>PEPE1991_Diciembre</v>
      </c>
      <c r="G428" s="1" t="s">
        <v>1567</v>
      </c>
      <c r="H428" s="3">
        <v>2.5194444444444444</v>
      </c>
      <c r="I428" s="3">
        <v>-78.563888888888883</v>
      </c>
      <c r="J428" s="12">
        <v>31.81</v>
      </c>
      <c r="K428" s="12">
        <v>27.78</v>
      </c>
      <c r="L428" s="4">
        <v>211.10021728439818</v>
      </c>
      <c r="M428" s="5">
        <v>288</v>
      </c>
      <c r="N428" s="5">
        <v>50</v>
      </c>
      <c r="O428" s="13">
        <v>36.14995266351098</v>
      </c>
      <c r="P428" s="13">
        <v>25.147793157225031</v>
      </c>
    </row>
    <row r="429" spans="1:16">
      <c r="A429" s="1" t="s">
        <v>437</v>
      </c>
      <c r="B429" s="1" t="s">
        <v>329</v>
      </c>
      <c r="C429" s="1">
        <v>1991</v>
      </c>
      <c r="D429" s="1" t="s">
        <v>1711</v>
      </c>
      <c r="E429" s="17">
        <v>33587</v>
      </c>
      <c r="F429" s="18" t="str">
        <f t="shared" si="6"/>
        <v>PEPE1991_Diciembre</v>
      </c>
      <c r="G429" s="1" t="s">
        <v>1457</v>
      </c>
      <c r="H429" s="3">
        <v>2.5027777777777778</v>
      </c>
      <c r="I429" s="3">
        <v>-78.61944444444444</v>
      </c>
      <c r="J429" s="12">
        <v>31.855</v>
      </c>
      <c r="K429" s="12">
        <v>27.67</v>
      </c>
      <c r="L429" s="4">
        <v>173.7702806154139</v>
      </c>
      <c r="M429" s="5">
        <v>0</v>
      </c>
      <c r="N429" s="5">
        <v>84</v>
      </c>
      <c r="O429" s="1">
        <v>0</v>
      </c>
      <c r="P429" s="13">
        <v>0</v>
      </c>
    </row>
    <row r="430" spans="1:16">
      <c r="A430" s="1" t="s">
        <v>438</v>
      </c>
      <c r="B430" s="1" t="s">
        <v>329</v>
      </c>
      <c r="C430" s="1">
        <v>1991</v>
      </c>
      <c r="D430" s="1" t="s">
        <v>1711</v>
      </c>
      <c r="E430" s="17">
        <v>33587</v>
      </c>
      <c r="F430" s="18" t="str">
        <f t="shared" si="6"/>
        <v>PEPE1991_Diciembre</v>
      </c>
      <c r="G430" s="1" t="s">
        <v>1458</v>
      </c>
      <c r="H430" s="3">
        <v>2.5</v>
      </c>
      <c r="I430" s="3">
        <v>-78.713888888888889</v>
      </c>
      <c r="J430" s="12">
        <v>31.775000000000002</v>
      </c>
      <c r="K430" s="12">
        <v>27.89</v>
      </c>
      <c r="L430" s="4">
        <v>86.632412557271181</v>
      </c>
      <c r="M430" s="5">
        <v>224</v>
      </c>
      <c r="N430" s="5">
        <v>179</v>
      </c>
      <c r="O430" s="13">
        <v>0</v>
      </c>
      <c r="P430" s="13">
        <v>0</v>
      </c>
    </row>
    <row r="431" spans="1:16">
      <c r="A431" s="1" t="s">
        <v>439</v>
      </c>
      <c r="B431" s="1" t="s">
        <v>329</v>
      </c>
      <c r="C431" s="1">
        <v>1991</v>
      </c>
      <c r="D431" s="1" t="s">
        <v>1711</v>
      </c>
      <c r="E431" s="17">
        <v>33587</v>
      </c>
      <c r="F431" s="18" t="str">
        <f t="shared" si="6"/>
        <v>PEPE1991_Diciembre</v>
      </c>
      <c r="G431" s="1" t="s">
        <v>1459</v>
      </c>
      <c r="H431" s="3">
        <v>2.5</v>
      </c>
      <c r="I431" s="3">
        <v>-78.87222222222222</v>
      </c>
      <c r="J431" s="12">
        <v>33.11</v>
      </c>
      <c r="K431" s="12">
        <v>28</v>
      </c>
      <c r="L431" s="4">
        <v>48.086583856568254</v>
      </c>
      <c r="M431" s="5">
        <v>148</v>
      </c>
      <c r="N431" s="5">
        <v>16</v>
      </c>
      <c r="O431" s="13">
        <v>0</v>
      </c>
      <c r="P431" s="13">
        <v>0</v>
      </c>
    </row>
    <row r="432" spans="1:16">
      <c r="A432" s="1" t="s">
        <v>440</v>
      </c>
      <c r="B432" s="1" t="s">
        <v>329</v>
      </c>
      <c r="C432" s="1">
        <v>1991</v>
      </c>
      <c r="D432" s="1" t="s">
        <v>1711</v>
      </c>
      <c r="E432" s="17">
        <v>33587</v>
      </c>
      <c r="F432" s="18" t="str">
        <f t="shared" si="6"/>
        <v>PEPE1991_Diciembre</v>
      </c>
      <c r="G432" s="1" t="s">
        <v>1568</v>
      </c>
      <c r="H432" s="3">
        <v>2.5</v>
      </c>
      <c r="I432" s="3">
        <v>-79.2</v>
      </c>
      <c r="J432" s="12">
        <v>33.299999999999997</v>
      </c>
      <c r="K432" s="12">
        <v>27.33</v>
      </c>
      <c r="L432" s="4">
        <v>111.6040822459733</v>
      </c>
      <c r="M432" s="5">
        <v>1452</v>
      </c>
      <c r="N432" s="5">
        <v>160</v>
      </c>
      <c r="O432" s="13">
        <v>0</v>
      </c>
      <c r="P432" s="13">
        <v>3.8112794086999879</v>
      </c>
    </row>
    <row r="433" spans="1:16">
      <c r="A433" s="1" t="s">
        <v>441</v>
      </c>
      <c r="B433" s="1" t="s">
        <v>329</v>
      </c>
      <c r="C433" s="1">
        <v>1991</v>
      </c>
      <c r="D433" s="1" t="s">
        <v>1711</v>
      </c>
      <c r="E433" s="17">
        <v>33588</v>
      </c>
      <c r="F433" s="18" t="str">
        <f t="shared" si="6"/>
        <v>PEPE1991_Diciembre</v>
      </c>
      <c r="G433" s="1" t="s">
        <v>1569</v>
      </c>
      <c r="H433" s="3">
        <v>2.3333333333333335</v>
      </c>
      <c r="I433" s="3">
        <v>-78.652777777777786</v>
      </c>
      <c r="J433" s="12">
        <v>31.355000000000004</v>
      </c>
      <c r="K433" s="12">
        <v>27.5</v>
      </c>
      <c r="L433" s="4">
        <v>161.13757014183477</v>
      </c>
      <c r="M433" s="5">
        <v>1747</v>
      </c>
      <c r="N433" s="5">
        <v>62</v>
      </c>
      <c r="O433" s="13">
        <v>1188.1575416950272</v>
      </c>
      <c r="P433" s="13">
        <v>47.596815468495151</v>
      </c>
    </row>
    <row r="434" spans="1:16">
      <c r="A434" s="1" t="s">
        <v>442</v>
      </c>
      <c r="B434" s="1" t="s">
        <v>329</v>
      </c>
      <c r="C434" s="1">
        <v>1991</v>
      </c>
      <c r="D434" s="1" t="s">
        <v>1711</v>
      </c>
      <c r="E434" s="17">
        <v>33587</v>
      </c>
      <c r="F434" s="18" t="str">
        <f t="shared" si="6"/>
        <v>PEPE1991_Diciembre</v>
      </c>
      <c r="G434" s="1" t="s">
        <v>1462</v>
      </c>
      <c r="H434" s="3">
        <v>2.3416666666666663</v>
      </c>
      <c r="I434" s="3">
        <v>-78.713888888888889</v>
      </c>
      <c r="J434" s="12">
        <v>31.7</v>
      </c>
      <c r="K434" s="12">
        <v>27.78</v>
      </c>
      <c r="L434" s="4">
        <v>131.08244587076567</v>
      </c>
      <c r="M434" s="5">
        <v>122</v>
      </c>
      <c r="N434" s="5">
        <v>124</v>
      </c>
      <c r="O434" s="13">
        <v>24.461950636172933</v>
      </c>
      <c r="P434" s="13">
        <v>11.290131062849047</v>
      </c>
    </row>
    <row r="435" spans="1:16">
      <c r="A435" s="1" t="s">
        <v>443</v>
      </c>
      <c r="B435" s="1" t="s">
        <v>329</v>
      </c>
      <c r="C435" s="1">
        <v>1991</v>
      </c>
      <c r="D435" s="1" t="s">
        <v>1711</v>
      </c>
      <c r="E435" s="17">
        <v>33587</v>
      </c>
      <c r="F435" s="18" t="str">
        <f t="shared" si="6"/>
        <v>PEPE1991_Diciembre</v>
      </c>
      <c r="G435" s="1" t="s">
        <v>1463</v>
      </c>
      <c r="H435" s="3">
        <v>2.3416666666666668</v>
      </c>
      <c r="I435" s="3">
        <v>-78.786111111111111</v>
      </c>
      <c r="J435" s="12">
        <v>32.165000000000006</v>
      </c>
      <c r="K435" s="12">
        <v>27.78</v>
      </c>
      <c r="L435" s="4">
        <v>90.266855770313498</v>
      </c>
      <c r="M435" s="5">
        <v>1395</v>
      </c>
      <c r="N435" s="5">
        <v>367</v>
      </c>
      <c r="O435" s="13">
        <v>0</v>
      </c>
      <c r="P435" s="13">
        <v>35.7601175819674</v>
      </c>
    </row>
    <row r="436" spans="1:16">
      <c r="A436" s="1" t="s">
        <v>444</v>
      </c>
      <c r="B436" s="1" t="s">
        <v>329</v>
      </c>
      <c r="C436" s="1">
        <v>1991</v>
      </c>
      <c r="D436" s="1" t="s">
        <v>1711</v>
      </c>
      <c r="E436" s="17">
        <v>33587</v>
      </c>
      <c r="F436" s="18" t="str">
        <f t="shared" si="6"/>
        <v>PEPE1991_Diciembre</v>
      </c>
      <c r="G436" s="1" t="s">
        <v>1464</v>
      </c>
      <c r="H436" s="3">
        <v>2.3333333333333335</v>
      </c>
      <c r="I436" s="3">
        <v>-78.966666666666669</v>
      </c>
      <c r="J436" s="12">
        <v>31.83</v>
      </c>
      <c r="K436" s="12">
        <v>27.44</v>
      </c>
      <c r="L436" s="4">
        <v>118.17215617754562</v>
      </c>
      <c r="M436" s="5">
        <v>82</v>
      </c>
      <c r="N436" s="5">
        <v>218</v>
      </c>
      <c r="O436" s="13">
        <v>0</v>
      </c>
      <c r="P436" s="13">
        <v>22.707712747590477</v>
      </c>
    </row>
    <row r="437" spans="1:16">
      <c r="A437" s="1" t="s">
        <v>445</v>
      </c>
      <c r="B437" s="1" t="s">
        <v>329</v>
      </c>
      <c r="C437" s="1">
        <v>1991</v>
      </c>
      <c r="D437" s="1" t="s">
        <v>1711</v>
      </c>
      <c r="E437" s="17">
        <v>33587</v>
      </c>
      <c r="F437" s="18" t="str">
        <f t="shared" si="6"/>
        <v>PEPE1991_Diciembre</v>
      </c>
      <c r="G437" s="1" t="s">
        <v>1570</v>
      </c>
      <c r="H437" s="3">
        <v>2.3388888888888886</v>
      </c>
      <c r="I437" s="3">
        <v>-79.13611111111112</v>
      </c>
      <c r="J437" s="12">
        <v>31.23</v>
      </c>
      <c r="K437" s="12">
        <v>27.33</v>
      </c>
      <c r="L437" s="4">
        <v>126.50893916718476</v>
      </c>
      <c r="M437" s="5">
        <v>1252</v>
      </c>
      <c r="N437" s="5">
        <v>119</v>
      </c>
      <c r="O437" s="13">
        <v>0</v>
      </c>
      <c r="P437" s="13">
        <v>0</v>
      </c>
    </row>
    <row r="438" spans="1:16">
      <c r="A438" s="1" t="s">
        <v>446</v>
      </c>
      <c r="B438" s="1" t="s">
        <v>329</v>
      </c>
      <c r="C438" s="1">
        <v>1991</v>
      </c>
      <c r="D438" s="1" t="s">
        <v>1711</v>
      </c>
      <c r="E438" s="17">
        <v>33588</v>
      </c>
      <c r="F438" s="18" t="str">
        <f t="shared" si="6"/>
        <v>PEPE1991_Diciembre</v>
      </c>
      <c r="G438" s="1" t="s">
        <v>1571</v>
      </c>
      <c r="H438" s="3">
        <v>2.1666666666666665</v>
      </c>
      <c r="I438" s="3">
        <v>-78.738888888888894</v>
      </c>
      <c r="J438" s="12">
        <v>32.82</v>
      </c>
      <c r="K438" s="12">
        <v>27</v>
      </c>
      <c r="L438" s="4">
        <v>180.53947129405799</v>
      </c>
      <c r="M438" s="5">
        <v>84</v>
      </c>
      <c r="N438" s="5">
        <v>314</v>
      </c>
      <c r="O438" s="13">
        <v>3.5927354787517536</v>
      </c>
      <c r="P438" s="13">
        <v>228.13870290073635</v>
      </c>
    </row>
    <row r="439" spans="1:16">
      <c r="A439" s="1" t="s">
        <v>447</v>
      </c>
      <c r="B439" s="1" t="s">
        <v>329</v>
      </c>
      <c r="C439" s="1">
        <v>1991</v>
      </c>
      <c r="D439" s="1" t="s">
        <v>1711</v>
      </c>
      <c r="E439" s="17">
        <v>33588</v>
      </c>
      <c r="F439" s="18" t="str">
        <f t="shared" si="6"/>
        <v>PEPE1991_Diciembre</v>
      </c>
      <c r="G439" s="1" t="s">
        <v>1467</v>
      </c>
      <c r="H439" s="3">
        <v>2.1749999999999998</v>
      </c>
      <c r="I439" s="3">
        <v>-78.841666666666669</v>
      </c>
      <c r="J439" s="12">
        <v>32.06</v>
      </c>
      <c r="K439" s="12">
        <v>27</v>
      </c>
      <c r="L439" s="4">
        <v>127.73592443152417</v>
      </c>
      <c r="M439" s="5">
        <v>178</v>
      </c>
      <c r="N439" s="5">
        <v>331</v>
      </c>
      <c r="O439" s="13">
        <v>4.9328420617343847</v>
      </c>
      <c r="P439" s="13">
        <v>98.65684123468769</v>
      </c>
    </row>
    <row r="440" spans="1:16">
      <c r="A440" s="1" t="s">
        <v>448</v>
      </c>
      <c r="B440" s="1" t="s">
        <v>329</v>
      </c>
      <c r="C440" s="1">
        <v>1991</v>
      </c>
      <c r="D440" s="1" t="s">
        <v>1711</v>
      </c>
      <c r="E440" s="17">
        <v>33588</v>
      </c>
      <c r="F440" s="18" t="str">
        <f t="shared" si="6"/>
        <v>PEPE1991_Diciembre</v>
      </c>
      <c r="G440" s="1" t="s">
        <v>1468</v>
      </c>
      <c r="H440" s="3">
        <v>2.1694444444444443</v>
      </c>
      <c r="I440" s="3">
        <v>-78.916666666666671</v>
      </c>
      <c r="J440" s="12">
        <v>32.29</v>
      </c>
      <c r="K440" s="12">
        <v>27.22</v>
      </c>
      <c r="L440" s="4">
        <v>110.16230491361517</v>
      </c>
      <c r="M440" s="5">
        <v>23</v>
      </c>
      <c r="N440" s="5">
        <v>145</v>
      </c>
      <c r="O440" s="13">
        <v>0</v>
      </c>
      <c r="P440" s="13">
        <v>32.739939284367203</v>
      </c>
    </row>
    <row r="441" spans="1:16">
      <c r="A441" s="1" t="s">
        <v>449</v>
      </c>
      <c r="B441" s="1" t="s">
        <v>329</v>
      </c>
      <c r="C441" s="1">
        <v>1991</v>
      </c>
      <c r="D441" s="1" t="s">
        <v>1711</v>
      </c>
      <c r="E441" s="17">
        <v>33588</v>
      </c>
      <c r="F441" s="18" t="str">
        <f t="shared" si="6"/>
        <v>PEPE1991_Diciembre</v>
      </c>
      <c r="G441" s="1" t="s">
        <v>1469</v>
      </c>
      <c r="H441" s="3">
        <v>2.1666666666666665</v>
      </c>
      <c r="I441" s="3">
        <v>-79.083333333333329</v>
      </c>
      <c r="J441" s="12">
        <v>31.185000000000002</v>
      </c>
      <c r="K441" s="12">
        <v>27.33</v>
      </c>
      <c r="L441" s="4">
        <v>110.02912213394741</v>
      </c>
      <c r="M441" s="5">
        <v>175</v>
      </c>
      <c r="N441" s="5">
        <v>161</v>
      </c>
      <c r="O441" s="13">
        <v>0</v>
      </c>
      <c r="P441" s="13">
        <v>52.085271466847644</v>
      </c>
    </row>
    <row r="442" spans="1:16">
      <c r="A442" s="1" t="s">
        <v>450</v>
      </c>
      <c r="B442" s="1" t="s">
        <v>329</v>
      </c>
      <c r="C442" s="1">
        <v>1991</v>
      </c>
      <c r="D442" s="1" t="s">
        <v>1711</v>
      </c>
      <c r="E442" s="17">
        <v>33588</v>
      </c>
      <c r="F442" s="18" t="str">
        <f t="shared" si="6"/>
        <v>PEPE1991_Diciembre</v>
      </c>
      <c r="G442" s="1" t="s">
        <v>1572</v>
      </c>
      <c r="H442" s="3">
        <v>2.1666666666666665</v>
      </c>
      <c r="I442" s="3">
        <v>-79.405555555555566</v>
      </c>
      <c r="J442" s="12">
        <v>33.08</v>
      </c>
      <c r="K442" s="12">
        <v>26.71</v>
      </c>
      <c r="L442" s="4">
        <v>97.604485308709513</v>
      </c>
      <c r="M442" s="5">
        <v>78</v>
      </c>
      <c r="N442" s="5">
        <v>35</v>
      </c>
      <c r="O442" s="13">
        <v>0</v>
      </c>
      <c r="P442" s="13">
        <v>3.5497356956987529</v>
      </c>
    </row>
    <row r="443" spans="1:16">
      <c r="A443" s="1" t="s">
        <v>451</v>
      </c>
      <c r="B443" s="1" t="s">
        <v>329</v>
      </c>
      <c r="C443" s="1">
        <v>1991</v>
      </c>
      <c r="D443" s="1" t="s">
        <v>1711</v>
      </c>
      <c r="E443" s="17">
        <v>33588</v>
      </c>
      <c r="F443" s="18" t="str">
        <f t="shared" si="6"/>
        <v>PEPE1991_Diciembre</v>
      </c>
      <c r="G443" s="1" t="s">
        <v>1471</v>
      </c>
      <c r="H443" s="3">
        <v>2.0027777777777778</v>
      </c>
      <c r="I443" s="3">
        <v>-78.686111111111117</v>
      </c>
      <c r="J443" s="12">
        <v>31.744999999999997</v>
      </c>
      <c r="K443" s="12">
        <v>29</v>
      </c>
      <c r="L443" s="4">
        <v>82.154895299665412</v>
      </c>
      <c r="M443" s="5">
        <v>9</v>
      </c>
      <c r="N443" s="5">
        <v>2</v>
      </c>
      <c r="O443" s="13">
        <v>1.3966332200943119</v>
      </c>
      <c r="P443" s="13">
        <v>1.6759598641131743</v>
      </c>
    </row>
    <row r="444" spans="1:16">
      <c r="A444" s="1" t="s">
        <v>452</v>
      </c>
      <c r="B444" s="1" t="s">
        <v>329</v>
      </c>
      <c r="C444" s="1">
        <v>1991</v>
      </c>
      <c r="D444" s="1" t="s">
        <v>1711</v>
      </c>
      <c r="E444" s="17">
        <v>33588</v>
      </c>
      <c r="F444" s="18" t="str">
        <f t="shared" si="6"/>
        <v>PEPE1991_Diciembre</v>
      </c>
      <c r="G444" s="1" t="s">
        <v>1472</v>
      </c>
      <c r="H444" s="3">
        <v>2</v>
      </c>
      <c r="I444" s="3">
        <v>-78.761111111111106</v>
      </c>
      <c r="J444" s="12">
        <v>33.1</v>
      </c>
      <c r="K444" s="12">
        <v>28.3</v>
      </c>
      <c r="L444" s="4">
        <v>169.02118244447291</v>
      </c>
      <c r="M444" s="5">
        <v>6</v>
      </c>
      <c r="N444" s="5">
        <v>122</v>
      </c>
      <c r="O444" s="13">
        <v>0</v>
      </c>
      <c r="P444" s="13">
        <v>5.554223856439207</v>
      </c>
    </row>
    <row r="445" spans="1:16">
      <c r="A445" s="1" t="s">
        <v>453</v>
      </c>
      <c r="B445" s="1" t="s">
        <v>329</v>
      </c>
      <c r="C445" s="1">
        <v>1991</v>
      </c>
      <c r="D445" s="1" t="s">
        <v>1711</v>
      </c>
      <c r="E445" s="17">
        <v>33588</v>
      </c>
      <c r="F445" s="18" t="str">
        <f t="shared" si="6"/>
        <v>PEPE1991_Diciembre</v>
      </c>
      <c r="G445" s="1" t="s">
        <v>1473</v>
      </c>
      <c r="H445" s="3">
        <v>2.0027777777777778</v>
      </c>
      <c r="I445" s="3">
        <v>-78.833333333333329</v>
      </c>
      <c r="J445" s="12">
        <v>31.254999999999999</v>
      </c>
      <c r="K445" s="12">
        <v>28</v>
      </c>
      <c r="L445" s="4">
        <v>125.39063471072096</v>
      </c>
      <c r="M445" s="5">
        <v>36</v>
      </c>
      <c r="N445" s="5">
        <v>264</v>
      </c>
      <c r="O445" s="13">
        <v>0</v>
      </c>
      <c r="P445" s="13">
        <v>53.699291658674518</v>
      </c>
    </row>
    <row r="446" spans="1:16">
      <c r="A446" s="1" t="s">
        <v>454</v>
      </c>
      <c r="B446" s="1" t="s">
        <v>329</v>
      </c>
      <c r="C446" s="1">
        <v>1991</v>
      </c>
      <c r="D446" s="1" t="s">
        <v>1711</v>
      </c>
      <c r="E446" s="17">
        <v>33588</v>
      </c>
      <c r="F446" s="18" t="str">
        <f t="shared" si="6"/>
        <v>PEPE1991_Diciembre</v>
      </c>
      <c r="G446" s="1" t="s">
        <v>1474</v>
      </c>
      <c r="H446" s="3">
        <v>2.0027777777777778</v>
      </c>
      <c r="I446" s="3">
        <v>-79</v>
      </c>
      <c r="J446" s="12">
        <v>32.03</v>
      </c>
      <c r="K446" s="12">
        <v>27.44</v>
      </c>
      <c r="L446" s="4">
        <v>84.684035226797221</v>
      </c>
      <c r="M446" s="5">
        <v>89</v>
      </c>
      <c r="N446" s="5">
        <v>194</v>
      </c>
      <c r="O446" s="13">
        <v>0</v>
      </c>
      <c r="P446" s="13">
        <v>24.240200197704805</v>
      </c>
    </row>
    <row r="447" spans="1:16">
      <c r="A447" s="1" t="s">
        <v>455</v>
      </c>
      <c r="B447" s="1" t="s">
        <v>329</v>
      </c>
      <c r="C447" s="1">
        <v>1991</v>
      </c>
      <c r="D447" s="1" t="s">
        <v>1711</v>
      </c>
      <c r="E447" s="17">
        <v>33588</v>
      </c>
      <c r="F447" s="18" t="str">
        <f t="shared" si="6"/>
        <v>PEPE1991_Diciembre</v>
      </c>
      <c r="G447" s="1" t="s">
        <v>1573</v>
      </c>
      <c r="H447" s="3">
        <v>2.0055555555555555</v>
      </c>
      <c r="I447" s="3">
        <v>-79.336111111111109</v>
      </c>
      <c r="J447" s="12">
        <v>33.79</v>
      </c>
      <c r="K447" s="12">
        <v>27.44</v>
      </c>
      <c r="L447" s="4">
        <v>88.168476959910137</v>
      </c>
      <c r="M447" s="5">
        <v>104</v>
      </c>
      <c r="N447" s="5">
        <v>149</v>
      </c>
      <c r="O447" s="13">
        <v>8.0356749901262106</v>
      </c>
      <c r="P447" s="13">
        <v>4.0178374950631053</v>
      </c>
    </row>
    <row r="448" spans="1:16">
      <c r="A448" s="1" t="s">
        <v>456</v>
      </c>
      <c r="B448" s="1" t="s">
        <v>329</v>
      </c>
      <c r="C448" s="1">
        <v>1991</v>
      </c>
      <c r="D448" s="1" t="s">
        <v>1711</v>
      </c>
      <c r="E448" s="17">
        <v>33588</v>
      </c>
      <c r="F448" s="18" t="str">
        <f t="shared" si="6"/>
        <v>PEPE1991_Diciembre</v>
      </c>
      <c r="G448" s="1" t="s">
        <v>1574</v>
      </c>
      <c r="H448" s="3">
        <v>1.8444444444444446</v>
      </c>
      <c r="I448" s="3">
        <v>-78.819444444444443</v>
      </c>
      <c r="J448" s="12">
        <v>32.07</v>
      </c>
      <c r="K448" s="12">
        <v>27.5</v>
      </c>
      <c r="L448" s="4">
        <v>231.13953387731291</v>
      </c>
      <c r="M448" s="5">
        <v>37</v>
      </c>
      <c r="N448" s="5">
        <v>20</v>
      </c>
      <c r="O448" s="13">
        <v>13.01493375370716</v>
      </c>
      <c r="P448" s="13">
        <v>11.279609253212872</v>
      </c>
    </row>
    <row r="449" spans="1:16">
      <c r="A449" s="1" t="s">
        <v>457</v>
      </c>
      <c r="B449" s="1" t="s">
        <v>329</v>
      </c>
      <c r="C449" s="1">
        <v>1991</v>
      </c>
      <c r="D449" s="1" t="s">
        <v>1711</v>
      </c>
      <c r="E449" s="17">
        <v>33588</v>
      </c>
      <c r="F449" s="18" t="str">
        <f t="shared" si="6"/>
        <v>PEPE1991_Diciembre</v>
      </c>
      <c r="G449" s="1" t="s">
        <v>1478</v>
      </c>
      <c r="H449" s="3">
        <v>1.838888888888889</v>
      </c>
      <c r="I449" s="3">
        <v>-78.922222222222231</v>
      </c>
      <c r="J449" s="12">
        <v>32.42</v>
      </c>
      <c r="K449" s="12">
        <v>27.5</v>
      </c>
      <c r="L449" s="4">
        <v>102.86722997656746</v>
      </c>
      <c r="M449" s="5">
        <v>9</v>
      </c>
      <c r="N449" s="5">
        <v>234</v>
      </c>
      <c r="O449" s="13">
        <v>0</v>
      </c>
      <c r="P449" s="13">
        <v>26.024380511771806</v>
      </c>
    </row>
    <row r="450" spans="1:16">
      <c r="A450" s="1" t="s">
        <v>458</v>
      </c>
      <c r="B450" s="1" t="s">
        <v>329</v>
      </c>
      <c r="C450" s="1">
        <v>1991</v>
      </c>
      <c r="D450" s="1" t="s">
        <v>1711</v>
      </c>
      <c r="E450" s="17">
        <v>33588</v>
      </c>
      <c r="F450" s="18" t="str">
        <f t="shared" si="6"/>
        <v>PEPE1991_Diciembre</v>
      </c>
      <c r="G450" s="1" t="s">
        <v>1479</v>
      </c>
      <c r="H450" s="3">
        <v>1.8333333333333335</v>
      </c>
      <c r="I450" s="3">
        <v>-78.991666666666674</v>
      </c>
      <c r="J450" s="12">
        <v>32.739999999999995</v>
      </c>
      <c r="K450" s="12">
        <v>27.7</v>
      </c>
      <c r="L450" s="4">
        <v>102.57873502612044</v>
      </c>
      <c r="M450" s="5">
        <v>168</v>
      </c>
      <c r="N450" s="5">
        <v>573</v>
      </c>
      <c r="O450" s="13">
        <v>0</v>
      </c>
      <c r="P450" s="13">
        <v>77.491493423932269</v>
      </c>
    </row>
    <row r="451" spans="1:16">
      <c r="A451" s="1" t="s">
        <v>459</v>
      </c>
      <c r="B451" s="1" t="s">
        <v>329</v>
      </c>
      <c r="C451" s="1">
        <v>1991</v>
      </c>
      <c r="D451" s="1" t="s">
        <v>1711</v>
      </c>
      <c r="E451" s="17">
        <v>33589</v>
      </c>
      <c r="F451" s="18" t="str">
        <f t="shared" ref="F451:F514" si="7">"PEPE"&amp;C451&amp;"_"&amp;D451</f>
        <v>PEPE1991_Diciembre</v>
      </c>
      <c r="G451" s="1" t="s">
        <v>1480</v>
      </c>
      <c r="H451" s="3">
        <v>1.8444444444444446</v>
      </c>
      <c r="I451" s="3">
        <v>-79.188888888888897</v>
      </c>
      <c r="J451" s="12">
        <v>32.050000000000004</v>
      </c>
      <c r="K451" s="12">
        <v>27</v>
      </c>
      <c r="L451" s="4">
        <v>183.34723912133725</v>
      </c>
      <c r="M451" s="5">
        <v>59</v>
      </c>
      <c r="N451" s="5">
        <v>391</v>
      </c>
      <c r="O451" s="13">
        <v>0</v>
      </c>
      <c r="P451" s="13">
        <v>26.812033531871197</v>
      </c>
    </row>
    <row r="452" spans="1:16">
      <c r="A452" s="1" t="s">
        <v>460</v>
      </c>
      <c r="B452" s="1" t="s">
        <v>329</v>
      </c>
      <c r="C452" s="1">
        <v>1991</v>
      </c>
      <c r="D452" s="1" t="s">
        <v>1711</v>
      </c>
      <c r="E452" s="17">
        <v>33589</v>
      </c>
      <c r="F452" s="18" t="str">
        <f t="shared" si="7"/>
        <v>PEPE1991_Diciembre</v>
      </c>
      <c r="G452" s="1" t="s">
        <v>1575</v>
      </c>
      <c r="H452" s="3">
        <v>1.8333333333333335</v>
      </c>
      <c r="I452" s="3">
        <v>-79.519444444444446</v>
      </c>
      <c r="J452" s="12">
        <v>33.909999999999997</v>
      </c>
      <c r="K452" s="12">
        <v>27.3</v>
      </c>
      <c r="L452" s="4">
        <v>147.48825031904067</v>
      </c>
      <c r="M452" s="5">
        <v>68</v>
      </c>
      <c r="N452" s="5">
        <v>264</v>
      </c>
      <c r="O452" s="13">
        <v>0</v>
      </c>
      <c r="P452" s="13">
        <v>14.662298591716899</v>
      </c>
    </row>
    <row r="453" spans="1:16">
      <c r="A453" s="1" t="s">
        <v>461</v>
      </c>
      <c r="B453" s="1" t="s">
        <v>329</v>
      </c>
      <c r="C453" s="1">
        <v>1991</v>
      </c>
      <c r="D453" s="1" t="s">
        <v>1711</v>
      </c>
      <c r="E453" s="17">
        <v>33589</v>
      </c>
      <c r="F453" s="18" t="str">
        <f t="shared" si="7"/>
        <v>PEPE1991_Diciembre</v>
      </c>
      <c r="G453" s="1" t="s">
        <v>1576</v>
      </c>
      <c r="H453" s="3">
        <v>1.6694444444444443</v>
      </c>
      <c r="I453" s="3">
        <v>-79.030555555555551</v>
      </c>
      <c r="J453" s="12">
        <v>30.545000000000002</v>
      </c>
      <c r="K453" s="12">
        <v>26.5</v>
      </c>
      <c r="L453" s="4">
        <v>15.648551485650552</v>
      </c>
      <c r="M453" s="5">
        <v>330</v>
      </c>
      <c r="N453" s="5">
        <v>451</v>
      </c>
      <c r="O453" s="13">
        <v>107.14876173254646</v>
      </c>
      <c r="P453" s="13">
        <v>22.322658694280513</v>
      </c>
    </row>
    <row r="454" spans="1:16">
      <c r="A454" s="1" t="s">
        <v>462</v>
      </c>
      <c r="B454" s="1" t="s">
        <v>329</v>
      </c>
      <c r="C454" s="1">
        <v>1991</v>
      </c>
      <c r="D454" s="1" t="s">
        <v>1711</v>
      </c>
      <c r="E454" s="17">
        <v>33589</v>
      </c>
      <c r="F454" s="18" t="str">
        <f t="shared" si="7"/>
        <v>PEPE1991_Diciembre</v>
      </c>
      <c r="G454" s="1" t="s">
        <v>1577</v>
      </c>
      <c r="H454" s="3">
        <v>1.6749999999999998</v>
      </c>
      <c r="I454" s="3">
        <v>-79.108333333333334</v>
      </c>
      <c r="J454" s="12">
        <v>31.735000000000003</v>
      </c>
      <c r="K454" s="12">
        <v>27.3</v>
      </c>
      <c r="L454" s="4">
        <v>98.672317006652605</v>
      </c>
      <c r="M454" s="5">
        <v>164</v>
      </c>
      <c r="N454" s="5">
        <v>215</v>
      </c>
      <c r="O454" s="13">
        <v>27.332231810842771</v>
      </c>
      <c r="P454" s="13">
        <v>11.713813633218329</v>
      </c>
    </row>
    <row r="455" spans="1:16">
      <c r="A455" s="1" t="s">
        <v>463</v>
      </c>
      <c r="B455" s="1" t="s">
        <v>329</v>
      </c>
      <c r="C455" s="1">
        <v>1991</v>
      </c>
      <c r="D455" s="1" t="s">
        <v>1711</v>
      </c>
      <c r="E455" s="17">
        <v>33589</v>
      </c>
      <c r="F455" s="18" t="str">
        <f t="shared" si="7"/>
        <v>PEPE1991_Diciembre</v>
      </c>
      <c r="G455" s="1" t="s">
        <v>1578</v>
      </c>
      <c r="H455" s="3">
        <v>1.6666666666666665</v>
      </c>
      <c r="I455" s="3">
        <v>-79.186111111111117</v>
      </c>
      <c r="J455" s="12">
        <v>32.36</v>
      </c>
      <c r="K455" s="12">
        <v>27.44</v>
      </c>
      <c r="L455" s="4">
        <v>69.909730930720116</v>
      </c>
      <c r="M455" s="5">
        <v>63</v>
      </c>
      <c r="N455" s="5">
        <v>99</v>
      </c>
      <c r="O455" s="13">
        <v>0</v>
      </c>
      <c r="P455" s="13">
        <v>3.9568907706787582</v>
      </c>
    </row>
    <row r="456" spans="1:16">
      <c r="A456" s="1" t="s">
        <v>464</v>
      </c>
      <c r="B456" s="1" t="s">
        <v>329</v>
      </c>
      <c r="C456" s="1">
        <v>1991</v>
      </c>
      <c r="D456" s="1" t="s">
        <v>1711</v>
      </c>
      <c r="E456" s="17">
        <v>33589</v>
      </c>
      <c r="F456" s="18" t="str">
        <f t="shared" si="7"/>
        <v>PEPE1991_Diciembre</v>
      </c>
      <c r="G456" s="1" t="s">
        <v>1485</v>
      </c>
      <c r="H456" s="3">
        <v>1.6749999999999998</v>
      </c>
      <c r="I456" s="3">
        <v>-79.358333333333334</v>
      </c>
      <c r="J456" s="12">
        <v>32.040000000000006</v>
      </c>
      <c r="K456" s="12">
        <v>27.33</v>
      </c>
      <c r="L456" s="4">
        <v>74.931530564631259</v>
      </c>
      <c r="M456" s="5">
        <v>162</v>
      </c>
      <c r="N456" s="5">
        <v>105</v>
      </c>
      <c r="O456" s="13">
        <v>0</v>
      </c>
      <c r="P456" s="13">
        <v>0</v>
      </c>
    </row>
    <row r="457" spans="1:16">
      <c r="A457" s="1" t="s">
        <v>465</v>
      </c>
      <c r="B457" s="1" t="s">
        <v>329</v>
      </c>
      <c r="C457" s="1">
        <v>1991</v>
      </c>
      <c r="D457" s="1" t="s">
        <v>1711</v>
      </c>
      <c r="E457" s="17">
        <v>33589</v>
      </c>
      <c r="F457" s="18" t="str">
        <f t="shared" si="7"/>
        <v>PEPE1991_Diciembre</v>
      </c>
      <c r="G457" s="1" t="s">
        <v>1579</v>
      </c>
      <c r="H457" s="3">
        <v>1.6833333333333331</v>
      </c>
      <c r="I457" s="3">
        <v>-79.519444444444446</v>
      </c>
      <c r="J457" s="12">
        <v>33.74</v>
      </c>
      <c r="K457" s="12">
        <v>26.72</v>
      </c>
      <c r="L457" s="4">
        <v>104.53350741089255</v>
      </c>
      <c r="M457" s="5">
        <v>63</v>
      </c>
      <c r="N457" s="5">
        <v>321</v>
      </c>
      <c r="O457" s="13">
        <v>0</v>
      </c>
      <c r="P457" s="13">
        <v>5.2666440645546748</v>
      </c>
    </row>
    <row r="458" spans="1:16">
      <c r="A458" s="1" t="s">
        <v>466</v>
      </c>
      <c r="B458" s="1" t="s">
        <v>329</v>
      </c>
      <c r="C458" s="1">
        <v>1991</v>
      </c>
      <c r="D458" s="1" t="s">
        <v>1711</v>
      </c>
      <c r="E458" s="17">
        <v>33589</v>
      </c>
      <c r="F458" s="18" t="str">
        <f t="shared" si="7"/>
        <v>PEPE1991_Diciembre</v>
      </c>
      <c r="G458" s="1" t="s">
        <v>1580</v>
      </c>
      <c r="H458" s="3">
        <v>1.5083333333333333</v>
      </c>
      <c r="I458" s="3">
        <v>-78.941666666666677</v>
      </c>
      <c r="J458" s="12">
        <v>33.380000000000003</v>
      </c>
      <c r="K458" s="12">
        <v>28.7</v>
      </c>
      <c r="L458" s="4">
        <v>19.188976562363354</v>
      </c>
      <c r="M458" s="5">
        <v>20</v>
      </c>
      <c r="N458" s="5">
        <v>17</v>
      </c>
      <c r="O458" s="13">
        <v>0.61826882483934731</v>
      </c>
      <c r="P458" s="13">
        <v>16.693258270662376</v>
      </c>
    </row>
    <row r="459" spans="1:16">
      <c r="A459" s="1" t="s">
        <v>467</v>
      </c>
      <c r="B459" s="1" t="s">
        <v>329</v>
      </c>
      <c r="C459" s="1">
        <v>1991</v>
      </c>
      <c r="D459" s="1" t="s">
        <v>1711</v>
      </c>
      <c r="E459" s="17">
        <v>33589</v>
      </c>
      <c r="F459" s="18" t="str">
        <f t="shared" si="7"/>
        <v>PEPE1991_Diciembre</v>
      </c>
      <c r="G459" s="1" t="s">
        <v>1487</v>
      </c>
      <c r="H459" s="3">
        <v>1.5083333333333333</v>
      </c>
      <c r="I459" s="3">
        <v>-79.019444444444446</v>
      </c>
      <c r="J459" s="12">
        <v>30.76</v>
      </c>
      <c r="K459" s="12">
        <v>28</v>
      </c>
      <c r="L459" s="4">
        <v>194.75149208125339</v>
      </c>
      <c r="M459" s="5">
        <v>51</v>
      </c>
      <c r="N459" s="5">
        <v>240</v>
      </c>
      <c r="O459" s="13">
        <v>3.4243804024287052</v>
      </c>
      <c r="P459" s="13">
        <v>13.697521609714821</v>
      </c>
    </row>
    <row r="460" spans="1:16">
      <c r="A460" s="1" t="s">
        <v>468</v>
      </c>
      <c r="B460" s="1" t="s">
        <v>329</v>
      </c>
      <c r="C460" s="1">
        <v>1991</v>
      </c>
      <c r="D460" s="1" t="s">
        <v>1711</v>
      </c>
      <c r="E460" s="17">
        <v>33589</v>
      </c>
      <c r="F460" s="18" t="str">
        <f t="shared" si="7"/>
        <v>PEPE1991_Diciembre</v>
      </c>
      <c r="G460" s="1" t="s">
        <v>1488</v>
      </c>
      <c r="H460" s="3">
        <v>1.5</v>
      </c>
      <c r="I460" s="3">
        <v>-79.083333333333329</v>
      </c>
      <c r="J460" s="12">
        <v>32.15</v>
      </c>
      <c r="K460" s="12">
        <v>28.3</v>
      </c>
      <c r="L460" s="4">
        <v>71.648888177272127</v>
      </c>
      <c r="M460" s="5">
        <v>68</v>
      </c>
      <c r="N460" s="5">
        <v>142</v>
      </c>
      <c r="O460" s="13">
        <v>0</v>
      </c>
      <c r="P460" s="13">
        <v>0</v>
      </c>
    </row>
    <row r="461" spans="1:16">
      <c r="A461" s="1" t="s">
        <v>469</v>
      </c>
      <c r="B461" s="1" t="s">
        <v>329</v>
      </c>
      <c r="C461" s="1">
        <v>1991</v>
      </c>
      <c r="D461" s="1" t="s">
        <v>1711</v>
      </c>
      <c r="E461" s="17">
        <v>33589</v>
      </c>
      <c r="F461" s="18" t="str">
        <f t="shared" si="7"/>
        <v>PEPE1991_Diciembre</v>
      </c>
      <c r="G461" s="1" t="s">
        <v>1581</v>
      </c>
      <c r="H461" s="3">
        <v>1.5027777777777778</v>
      </c>
      <c r="I461" s="3">
        <v>-79.25555555555556</v>
      </c>
      <c r="J461" s="12">
        <v>32.515000000000001</v>
      </c>
      <c r="K461" s="12">
        <v>27.88</v>
      </c>
      <c r="L461" s="4">
        <v>72.088832686704805</v>
      </c>
      <c r="M461" s="5">
        <v>28</v>
      </c>
      <c r="N461" s="5">
        <v>94</v>
      </c>
      <c r="O461" s="13">
        <v>11.088704243868932</v>
      </c>
      <c r="P461" s="13">
        <v>0</v>
      </c>
    </row>
    <row r="462" spans="1:16">
      <c r="A462" s="1" t="s">
        <v>470</v>
      </c>
      <c r="B462" s="1" t="s">
        <v>329</v>
      </c>
      <c r="C462" s="1">
        <v>1991</v>
      </c>
      <c r="D462" s="1" t="s">
        <v>1711</v>
      </c>
      <c r="E462" s="17">
        <v>33589</v>
      </c>
      <c r="F462" s="18" t="str">
        <f t="shared" si="7"/>
        <v>PEPE1991_Diciembre</v>
      </c>
      <c r="G462" s="1" t="s">
        <v>1582</v>
      </c>
      <c r="H462" s="3">
        <v>1.5</v>
      </c>
      <c r="I462" s="3">
        <v>-79.588888888888889</v>
      </c>
      <c r="J462" s="12">
        <v>32.15</v>
      </c>
      <c r="K462" s="12">
        <v>27.44</v>
      </c>
      <c r="L462" s="4">
        <v>136.57782898271796</v>
      </c>
      <c r="M462" s="5">
        <v>30</v>
      </c>
      <c r="N462" s="5">
        <v>254</v>
      </c>
      <c r="O462" s="13">
        <v>0</v>
      </c>
      <c r="P462" s="13">
        <v>4.9782618664200706</v>
      </c>
    </row>
    <row r="463" spans="1:16" s="19" customFormat="1">
      <c r="A463" s="19" t="s">
        <v>471</v>
      </c>
      <c r="B463" s="19" t="s">
        <v>472</v>
      </c>
      <c r="C463" s="19">
        <v>1993</v>
      </c>
      <c r="D463" s="19" t="s">
        <v>1712</v>
      </c>
      <c r="E463" s="18">
        <v>33992</v>
      </c>
      <c r="F463" s="18" t="str">
        <f t="shared" si="7"/>
        <v>PEPE1993_Enero</v>
      </c>
      <c r="G463" s="19" t="s">
        <v>1583</v>
      </c>
      <c r="H463" s="21">
        <v>4.4409999999999998</v>
      </c>
      <c r="I463" s="21">
        <v>-77.391000000000005</v>
      </c>
      <c r="J463" s="22">
        <v>20.2</v>
      </c>
      <c r="K463" s="22">
        <v>27.3</v>
      </c>
      <c r="L463" s="23">
        <v>287.63</v>
      </c>
      <c r="M463" s="24">
        <v>905</v>
      </c>
      <c r="N463" s="24">
        <v>39</v>
      </c>
      <c r="O463" s="19">
        <v>39</v>
      </c>
      <c r="P463" s="19">
        <v>19</v>
      </c>
    </row>
    <row r="464" spans="1:16">
      <c r="A464" s="1" t="s">
        <v>473</v>
      </c>
      <c r="B464" s="1" t="s">
        <v>472</v>
      </c>
      <c r="C464" s="1">
        <v>1993</v>
      </c>
      <c r="D464" s="1" t="s">
        <v>1712</v>
      </c>
      <c r="E464" s="17">
        <v>33992</v>
      </c>
      <c r="F464" s="18" t="str">
        <f t="shared" si="7"/>
        <v>PEPE1993_Enero</v>
      </c>
      <c r="G464" s="1" t="s">
        <v>1584</v>
      </c>
      <c r="H464" s="3">
        <v>4.3843500000000004</v>
      </c>
      <c r="I464" s="3">
        <v>-77.357699999999994</v>
      </c>
      <c r="J464" s="12">
        <v>26.7</v>
      </c>
      <c r="K464" s="12">
        <v>27.6</v>
      </c>
      <c r="L464" s="4">
        <v>89.09</v>
      </c>
      <c r="M464" s="5">
        <v>660</v>
      </c>
      <c r="N464" s="5">
        <v>15</v>
      </c>
      <c r="O464" s="13">
        <v>115</v>
      </c>
      <c r="P464" s="13">
        <v>1</v>
      </c>
    </row>
    <row r="465" spans="1:16">
      <c r="A465" s="1" t="s">
        <v>474</v>
      </c>
      <c r="B465" s="1" t="s">
        <v>472</v>
      </c>
      <c r="C465" s="1">
        <v>1993</v>
      </c>
      <c r="D465" s="1" t="s">
        <v>1712</v>
      </c>
      <c r="E465" s="17">
        <v>33992</v>
      </c>
      <c r="F465" s="18" t="str">
        <f t="shared" si="7"/>
        <v>PEPE1993_Enero</v>
      </c>
      <c r="G465" s="1" t="s">
        <v>1585</v>
      </c>
      <c r="H465" s="3">
        <v>4.5002000000000004</v>
      </c>
      <c r="I465" s="3">
        <v>-77.424199999999999</v>
      </c>
      <c r="J465" s="12">
        <v>28.9</v>
      </c>
      <c r="K465" s="12">
        <v>27.3</v>
      </c>
      <c r="L465" s="4">
        <v>299.13</v>
      </c>
      <c r="M465" s="5">
        <v>55</v>
      </c>
      <c r="N465" s="5">
        <v>211</v>
      </c>
      <c r="O465" s="13">
        <v>0</v>
      </c>
      <c r="P465" s="13">
        <v>22</v>
      </c>
    </row>
    <row r="466" spans="1:16">
      <c r="A466" s="1" t="s">
        <v>475</v>
      </c>
      <c r="B466" s="1" t="s">
        <v>472</v>
      </c>
      <c r="C466" s="1">
        <v>1993</v>
      </c>
      <c r="D466" s="1" t="s">
        <v>1712</v>
      </c>
      <c r="E466" s="17">
        <v>33992</v>
      </c>
      <c r="F466" s="18" t="str">
        <f t="shared" si="7"/>
        <v>PEPE1993_Enero</v>
      </c>
      <c r="G466" s="1" t="s">
        <v>1586</v>
      </c>
      <c r="H466" s="3">
        <v>4.4998666666666596</v>
      </c>
      <c r="I466" s="3">
        <v>-77.506883333333306</v>
      </c>
      <c r="J466" s="12">
        <v>31</v>
      </c>
      <c r="K466" s="12">
        <v>27.2</v>
      </c>
      <c r="L466" s="4">
        <v>259.14</v>
      </c>
      <c r="M466" s="5">
        <v>34</v>
      </c>
      <c r="N466" s="5">
        <v>368</v>
      </c>
      <c r="O466" s="13">
        <v>0</v>
      </c>
      <c r="P466" s="13">
        <v>41</v>
      </c>
    </row>
    <row r="467" spans="1:16" s="19" customFormat="1">
      <c r="A467" s="19" t="s">
        <v>476</v>
      </c>
      <c r="B467" s="19" t="s">
        <v>472</v>
      </c>
      <c r="C467" s="19">
        <v>1993</v>
      </c>
      <c r="D467" s="19" t="s">
        <v>1712</v>
      </c>
      <c r="E467" s="18">
        <v>33992</v>
      </c>
      <c r="F467" s="18" t="str">
        <f t="shared" si="7"/>
        <v>PEPE1993_Enero</v>
      </c>
      <c r="G467" s="19" t="s">
        <v>1587</v>
      </c>
      <c r="H467" s="21">
        <v>4.2431666666666601</v>
      </c>
      <c r="I467" s="21">
        <v>-77.472166666666595</v>
      </c>
      <c r="J467" s="22">
        <v>20.2</v>
      </c>
      <c r="K467" s="22">
        <v>27.3</v>
      </c>
      <c r="L467" s="23">
        <v>2312.3000000000002</v>
      </c>
      <c r="M467" s="24">
        <v>1</v>
      </c>
      <c r="N467" s="24">
        <v>47</v>
      </c>
      <c r="O467" s="25">
        <v>0</v>
      </c>
      <c r="P467" s="25">
        <v>34</v>
      </c>
    </row>
    <row r="468" spans="1:16" s="19" customFormat="1">
      <c r="A468" s="19" t="s">
        <v>477</v>
      </c>
      <c r="B468" s="19" t="s">
        <v>472</v>
      </c>
      <c r="C468" s="19">
        <v>1993</v>
      </c>
      <c r="D468" s="19" t="s">
        <v>1712</v>
      </c>
      <c r="E468" s="18">
        <v>33992</v>
      </c>
      <c r="F468" s="18" t="str">
        <f t="shared" si="7"/>
        <v>PEPE1993_Enero</v>
      </c>
      <c r="G468" s="19" t="s">
        <v>1588</v>
      </c>
      <c r="H468" s="21">
        <v>4.25233333333333</v>
      </c>
      <c r="I468" s="21">
        <v>-77.503500000000003</v>
      </c>
      <c r="J468" s="22">
        <v>20.2</v>
      </c>
      <c r="K468" s="22">
        <v>27.5</v>
      </c>
      <c r="L468" s="23">
        <v>1896.21</v>
      </c>
      <c r="M468" s="24">
        <v>0</v>
      </c>
      <c r="N468" s="24">
        <v>12</v>
      </c>
      <c r="O468" s="19">
        <v>0</v>
      </c>
      <c r="P468" s="25">
        <v>4</v>
      </c>
    </row>
    <row r="469" spans="1:16">
      <c r="A469" s="1" t="s">
        <v>478</v>
      </c>
      <c r="B469" s="1" t="s">
        <v>472</v>
      </c>
      <c r="C469" s="1">
        <v>1993</v>
      </c>
      <c r="D469" s="1" t="s">
        <v>1712</v>
      </c>
      <c r="E469" s="17">
        <v>33992</v>
      </c>
      <c r="F469" s="18" t="str">
        <f t="shared" si="7"/>
        <v>PEPE1993_Enero</v>
      </c>
      <c r="G469" s="1" t="s">
        <v>1403</v>
      </c>
      <c r="H469" s="3">
        <v>4.3297222199999998</v>
      </c>
      <c r="I469" s="3">
        <v>-77.450833329999995</v>
      </c>
      <c r="J469" s="12">
        <v>26.8</v>
      </c>
      <c r="K469" s="12">
        <v>28.2</v>
      </c>
      <c r="L469" s="4">
        <v>126.38</v>
      </c>
      <c r="M469" s="5">
        <v>63</v>
      </c>
      <c r="N469" s="5">
        <v>27</v>
      </c>
      <c r="O469" s="13">
        <v>41</v>
      </c>
      <c r="P469" s="13">
        <v>19</v>
      </c>
    </row>
    <row r="470" spans="1:16">
      <c r="A470" s="1" t="s">
        <v>479</v>
      </c>
      <c r="B470" s="1" t="s">
        <v>472</v>
      </c>
      <c r="C470" s="1">
        <v>1993</v>
      </c>
      <c r="D470" s="1" t="s">
        <v>1712</v>
      </c>
      <c r="E470" s="17">
        <v>33992</v>
      </c>
      <c r="F470" s="18" t="str">
        <f t="shared" si="7"/>
        <v>PEPE1993_Enero</v>
      </c>
      <c r="G470" s="1" t="s">
        <v>1404</v>
      </c>
      <c r="H470" s="3">
        <v>4.3263888799999997</v>
      </c>
      <c r="I470" s="3">
        <v>-77.588055554999997</v>
      </c>
      <c r="J470" s="12">
        <v>30.05</v>
      </c>
      <c r="K470" s="12">
        <v>27.7</v>
      </c>
      <c r="L470" s="4">
        <v>359.48</v>
      </c>
      <c r="M470" s="5">
        <v>229</v>
      </c>
      <c r="N470" s="5">
        <v>217</v>
      </c>
      <c r="O470" s="13">
        <v>0</v>
      </c>
      <c r="P470" s="13">
        <v>3</v>
      </c>
    </row>
    <row r="471" spans="1:16">
      <c r="A471" s="1" t="s">
        <v>480</v>
      </c>
      <c r="B471" s="1" t="s">
        <v>472</v>
      </c>
      <c r="C471" s="1">
        <v>1993</v>
      </c>
      <c r="D471" s="1" t="s">
        <v>1712</v>
      </c>
      <c r="E471" s="17">
        <v>33992</v>
      </c>
      <c r="F471" s="18" t="str">
        <f t="shared" si="7"/>
        <v>PEPE1993_Enero</v>
      </c>
      <c r="G471" s="1" t="s">
        <v>1589</v>
      </c>
      <c r="H471" s="3">
        <v>4.3497222200000003</v>
      </c>
      <c r="I471" s="3">
        <v>-77.659444440000001</v>
      </c>
      <c r="J471" s="12">
        <v>33.299999999999997</v>
      </c>
      <c r="K471" s="12">
        <v>27.4</v>
      </c>
      <c r="L471" s="4">
        <v>258.64</v>
      </c>
      <c r="M471" s="5">
        <v>400</v>
      </c>
      <c r="N471" s="5">
        <v>340</v>
      </c>
      <c r="O471" s="13">
        <v>0</v>
      </c>
      <c r="P471" s="13">
        <v>0</v>
      </c>
    </row>
    <row r="472" spans="1:16">
      <c r="A472" s="1" t="s">
        <v>481</v>
      </c>
      <c r="B472" s="1" t="s">
        <v>472</v>
      </c>
      <c r="C472" s="1">
        <v>1993</v>
      </c>
      <c r="D472" s="1" t="s">
        <v>1712</v>
      </c>
      <c r="E472" s="17">
        <v>33992</v>
      </c>
      <c r="F472" s="18" t="str">
        <f t="shared" si="7"/>
        <v>PEPE1993_Enero</v>
      </c>
      <c r="G472" s="1" t="s">
        <v>1590</v>
      </c>
      <c r="H472" s="3">
        <v>4.1831333333333296</v>
      </c>
      <c r="I472" s="3">
        <v>-77.540583333333302</v>
      </c>
      <c r="J472" s="12">
        <v>27.2</v>
      </c>
      <c r="K472" s="12">
        <v>28.1</v>
      </c>
      <c r="L472" s="4">
        <v>349.96</v>
      </c>
      <c r="M472" s="5">
        <v>77</v>
      </c>
      <c r="N472" s="5">
        <v>4</v>
      </c>
      <c r="O472" s="13">
        <v>28</v>
      </c>
      <c r="P472" s="13">
        <v>1</v>
      </c>
    </row>
    <row r="473" spans="1:16">
      <c r="A473" s="1" t="s">
        <v>482</v>
      </c>
      <c r="B473" s="1" t="s">
        <v>472</v>
      </c>
      <c r="C473" s="1">
        <v>1993</v>
      </c>
      <c r="D473" s="1" t="s">
        <v>1712</v>
      </c>
      <c r="E473" s="17">
        <v>33992</v>
      </c>
      <c r="F473" s="18" t="str">
        <f t="shared" si="7"/>
        <v>PEPE1993_Enero</v>
      </c>
      <c r="G473" s="1" t="s">
        <v>1591</v>
      </c>
      <c r="H473" s="3">
        <v>4.1663333333333297</v>
      </c>
      <c r="I473" s="3">
        <v>-77.616333333333301</v>
      </c>
      <c r="J473" s="12">
        <v>30</v>
      </c>
      <c r="K473" s="12">
        <v>27.4</v>
      </c>
      <c r="L473" s="4">
        <v>326.69</v>
      </c>
      <c r="M473" s="5">
        <v>0</v>
      </c>
      <c r="N473" s="5">
        <v>100</v>
      </c>
      <c r="O473" s="1">
        <v>0</v>
      </c>
      <c r="P473" s="13">
        <v>10</v>
      </c>
    </row>
    <row r="474" spans="1:16">
      <c r="A474" s="1" t="s">
        <v>483</v>
      </c>
      <c r="B474" s="1" t="s">
        <v>472</v>
      </c>
      <c r="C474" s="1">
        <v>1993</v>
      </c>
      <c r="D474" s="1" t="s">
        <v>1712</v>
      </c>
      <c r="E474" s="17">
        <v>33993</v>
      </c>
      <c r="F474" s="18" t="str">
        <f t="shared" si="7"/>
        <v>PEPE1993_Enero</v>
      </c>
      <c r="G474" s="1" t="s">
        <v>1592</v>
      </c>
      <c r="H474" s="3">
        <v>3.9904500000000001</v>
      </c>
      <c r="I474" s="3">
        <v>-77.243333333333297</v>
      </c>
      <c r="J474" s="12">
        <v>24.9</v>
      </c>
      <c r="K474" s="12">
        <v>28.3</v>
      </c>
      <c r="L474" s="4">
        <v>863.19</v>
      </c>
      <c r="M474" s="5">
        <v>31</v>
      </c>
      <c r="N474" s="5">
        <v>22</v>
      </c>
      <c r="O474" s="13">
        <v>0</v>
      </c>
      <c r="P474" s="13">
        <v>2</v>
      </c>
    </row>
    <row r="475" spans="1:16">
      <c r="A475" s="1" t="s">
        <v>484</v>
      </c>
      <c r="B475" s="1" t="s">
        <v>472</v>
      </c>
      <c r="C475" s="1">
        <v>1993</v>
      </c>
      <c r="D475" s="1" t="s">
        <v>1712</v>
      </c>
      <c r="E475" s="17">
        <v>33993</v>
      </c>
      <c r="F475" s="18" t="str">
        <f t="shared" si="7"/>
        <v>PEPE1993_Enero</v>
      </c>
      <c r="G475" s="1" t="s">
        <v>1593</v>
      </c>
      <c r="H475" s="3">
        <v>3.9613166666666602</v>
      </c>
      <c r="I475" s="3">
        <v>-77.316316666666594</v>
      </c>
      <c r="J475" s="12">
        <v>20.5</v>
      </c>
      <c r="K475" s="12">
        <v>27.8</v>
      </c>
      <c r="L475" s="4">
        <v>1361.78</v>
      </c>
      <c r="M475" s="5">
        <v>0</v>
      </c>
      <c r="N475" s="5">
        <v>16</v>
      </c>
      <c r="O475" s="1">
        <v>0</v>
      </c>
      <c r="P475" s="13">
        <v>5</v>
      </c>
    </row>
    <row r="476" spans="1:16">
      <c r="A476" s="1" t="s">
        <v>485</v>
      </c>
      <c r="B476" s="1" t="s">
        <v>472</v>
      </c>
      <c r="C476" s="1">
        <v>1993</v>
      </c>
      <c r="D476" s="1" t="s">
        <v>1712</v>
      </c>
      <c r="E476" s="17">
        <v>33993</v>
      </c>
      <c r="F476" s="18" t="str">
        <f t="shared" si="7"/>
        <v>PEPE1993_Enero</v>
      </c>
      <c r="G476" s="1" t="s">
        <v>1594</v>
      </c>
      <c r="H476" s="3">
        <v>3.9319333333333302</v>
      </c>
      <c r="I476" s="3">
        <v>-77.322066666666601</v>
      </c>
      <c r="J476" s="12">
        <v>20.5</v>
      </c>
      <c r="K476" s="12">
        <v>27.8</v>
      </c>
      <c r="L476" s="4">
        <v>545.33000000000004</v>
      </c>
      <c r="M476" s="5">
        <v>14</v>
      </c>
      <c r="N476" s="5">
        <v>6</v>
      </c>
      <c r="O476" s="13">
        <v>0</v>
      </c>
      <c r="P476" s="13">
        <v>2</v>
      </c>
    </row>
    <row r="477" spans="1:16">
      <c r="A477" s="1" t="s">
        <v>486</v>
      </c>
      <c r="B477" s="1" t="s">
        <v>472</v>
      </c>
      <c r="C477" s="1">
        <v>1993</v>
      </c>
      <c r="D477" s="1" t="s">
        <v>1712</v>
      </c>
      <c r="E477" s="17">
        <v>33993</v>
      </c>
      <c r="F477" s="18" t="str">
        <f t="shared" si="7"/>
        <v>PEPE1993_Enero</v>
      </c>
      <c r="G477" s="1" t="s">
        <v>1595</v>
      </c>
      <c r="H477" s="3">
        <v>3.8290000000000002</v>
      </c>
      <c r="I477" s="3">
        <v>-77.144499999999994</v>
      </c>
      <c r="J477" s="12">
        <v>24</v>
      </c>
      <c r="K477" s="12">
        <v>28.5</v>
      </c>
      <c r="L477" s="4">
        <v>280.64</v>
      </c>
      <c r="M477" s="5">
        <v>62</v>
      </c>
      <c r="N477" s="5">
        <v>104</v>
      </c>
      <c r="O477" s="13">
        <v>1</v>
      </c>
      <c r="P477" s="13">
        <v>54</v>
      </c>
    </row>
    <row r="478" spans="1:16">
      <c r="A478" s="1" t="s">
        <v>487</v>
      </c>
      <c r="B478" s="1" t="s">
        <v>472</v>
      </c>
      <c r="C478" s="1">
        <v>1993</v>
      </c>
      <c r="D478" s="1" t="s">
        <v>1712</v>
      </c>
      <c r="E478" s="17">
        <v>33999</v>
      </c>
      <c r="F478" s="18" t="str">
        <f t="shared" si="7"/>
        <v>PEPE1993_Enero</v>
      </c>
      <c r="G478" s="1" t="s">
        <v>1596</v>
      </c>
      <c r="H478" s="3">
        <v>3.8584999999999998</v>
      </c>
      <c r="I478" s="3">
        <v>-77.1041666666666</v>
      </c>
      <c r="J478" s="12">
        <v>17</v>
      </c>
      <c r="K478" s="12">
        <v>28</v>
      </c>
      <c r="L478" s="4">
        <v>389.71</v>
      </c>
      <c r="M478" s="5">
        <v>34</v>
      </c>
      <c r="N478" s="5">
        <v>22</v>
      </c>
      <c r="O478" s="13">
        <v>19</v>
      </c>
      <c r="P478" s="13">
        <v>4</v>
      </c>
    </row>
    <row r="479" spans="1:16">
      <c r="A479" s="1" t="s">
        <v>488</v>
      </c>
      <c r="B479" s="1" t="s">
        <v>472</v>
      </c>
      <c r="C479" s="1">
        <v>1993</v>
      </c>
      <c r="D479" s="1" t="s">
        <v>1712</v>
      </c>
      <c r="E479" s="17">
        <v>33999</v>
      </c>
      <c r="F479" s="18" t="str">
        <f t="shared" si="7"/>
        <v>PEPE1993_Enero</v>
      </c>
      <c r="G479" s="1" t="s">
        <v>1597</v>
      </c>
      <c r="H479" s="3">
        <v>3.923888888</v>
      </c>
      <c r="I479" s="3">
        <v>-77.010999999999996</v>
      </c>
      <c r="J479" s="12">
        <v>15</v>
      </c>
      <c r="K479" s="12">
        <v>28.4</v>
      </c>
      <c r="L479" s="4">
        <v>212.59</v>
      </c>
      <c r="M479" s="5">
        <v>4</v>
      </c>
      <c r="N479" s="5">
        <v>143</v>
      </c>
      <c r="O479" s="13">
        <v>0</v>
      </c>
      <c r="P479" s="13">
        <v>5</v>
      </c>
    </row>
    <row r="480" spans="1:16">
      <c r="A480" s="1" t="s">
        <v>489</v>
      </c>
      <c r="B480" s="1" t="s">
        <v>472</v>
      </c>
      <c r="C480" s="1">
        <v>1993</v>
      </c>
      <c r="D480" s="1" t="s">
        <v>1712</v>
      </c>
      <c r="E480" s="17">
        <v>33993</v>
      </c>
      <c r="F480" s="18" t="str">
        <f t="shared" si="7"/>
        <v>PEPE1993_Enero</v>
      </c>
      <c r="G480" s="11" t="s">
        <v>1417</v>
      </c>
      <c r="H480" s="3">
        <v>3.8398333333333299</v>
      </c>
      <c r="I480" s="3">
        <v>-77.301033333333294</v>
      </c>
      <c r="J480" s="12">
        <v>31.5</v>
      </c>
      <c r="K480" s="12">
        <v>28.1</v>
      </c>
      <c r="L480" s="4">
        <v>606.05999999999995</v>
      </c>
      <c r="M480" s="5">
        <v>10</v>
      </c>
      <c r="N480" s="5">
        <v>45</v>
      </c>
      <c r="O480" s="13">
        <v>2</v>
      </c>
      <c r="P480" s="13">
        <v>9</v>
      </c>
    </row>
    <row r="481" spans="1:16">
      <c r="A481" s="1" t="s">
        <v>490</v>
      </c>
      <c r="B481" s="1" t="s">
        <v>472</v>
      </c>
      <c r="C481" s="1">
        <v>1993</v>
      </c>
      <c r="D481" s="1" t="s">
        <v>1712</v>
      </c>
      <c r="E481" s="17">
        <v>33992</v>
      </c>
      <c r="F481" s="18" t="str">
        <f t="shared" si="7"/>
        <v>PEPE1993_Enero</v>
      </c>
      <c r="G481" s="11" t="s">
        <v>1418</v>
      </c>
      <c r="H481" s="3">
        <v>3.8455555549999998</v>
      </c>
      <c r="I481" s="3">
        <v>-77.358333329999994</v>
      </c>
      <c r="J481" s="12">
        <v>29.8</v>
      </c>
      <c r="K481" s="12">
        <v>27.7</v>
      </c>
      <c r="L481" s="4">
        <v>196.01</v>
      </c>
      <c r="M481" s="5">
        <v>185</v>
      </c>
      <c r="N481" s="5">
        <v>61</v>
      </c>
      <c r="O481" s="13">
        <v>2</v>
      </c>
      <c r="P481" s="13">
        <v>21</v>
      </c>
    </row>
    <row r="482" spans="1:16">
      <c r="A482" s="1" t="s">
        <v>491</v>
      </c>
      <c r="B482" s="1" t="s">
        <v>472</v>
      </c>
      <c r="C482" s="1">
        <v>1993</v>
      </c>
      <c r="D482" s="1" t="s">
        <v>1712</v>
      </c>
      <c r="E482" s="17">
        <v>33993</v>
      </c>
      <c r="F482" s="18" t="str">
        <f t="shared" si="7"/>
        <v>PEPE1993_Enero</v>
      </c>
      <c r="G482" s="11" t="s">
        <v>1598</v>
      </c>
      <c r="H482" s="3">
        <v>3.6294444440000002</v>
      </c>
      <c r="I482" s="3">
        <v>-77.212222220000001</v>
      </c>
      <c r="J482" s="12">
        <v>29.35</v>
      </c>
      <c r="K482" s="12">
        <v>28.7</v>
      </c>
      <c r="L482" s="4">
        <v>271.45999999999998</v>
      </c>
      <c r="M482" s="5">
        <v>141</v>
      </c>
      <c r="N482" s="5">
        <v>58</v>
      </c>
      <c r="O482" s="13">
        <v>86</v>
      </c>
      <c r="P482" s="13">
        <v>49</v>
      </c>
    </row>
    <row r="483" spans="1:16">
      <c r="A483" s="1" t="s">
        <v>492</v>
      </c>
      <c r="B483" s="1" t="s">
        <v>472</v>
      </c>
      <c r="C483" s="1">
        <v>1993</v>
      </c>
      <c r="D483" s="1" t="s">
        <v>1712</v>
      </c>
      <c r="E483" s="17">
        <v>33993</v>
      </c>
      <c r="F483" s="18" t="str">
        <f t="shared" si="7"/>
        <v>PEPE1993_Enero</v>
      </c>
      <c r="G483" s="11" t="s">
        <v>1555</v>
      </c>
      <c r="H483" s="3">
        <v>3.668055555</v>
      </c>
      <c r="I483" s="3">
        <v>-77.2758333333</v>
      </c>
      <c r="J483" s="12">
        <v>30</v>
      </c>
      <c r="K483" s="12">
        <v>28.8</v>
      </c>
      <c r="L483" s="4">
        <v>465.12</v>
      </c>
      <c r="M483" s="5">
        <v>508</v>
      </c>
      <c r="N483" s="5">
        <v>535</v>
      </c>
      <c r="O483" s="13">
        <v>22</v>
      </c>
      <c r="P483" s="13">
        <v>64</v>
      </c>
    </row>
    <row r="484" spans="1:16">
      <c r="A484" s="1" t="s">
        <v>493</v>
      </c>
      <c r="B484" s="1" t="s">
        <v>472</v>
      </c>
      <c r="C484" s="1">
        <v>1993</v>
      </c>
      <c r="D484" s="1" t="s">
        <v>1712</v>
      </c>
      <c r="E484" s="17">
        <v>33993</v>
      </c>
      <c r="F484" s="18" t="str">
        <f t="shared" si="7"/>
        <v>PEPE1993_Enero</v>
      </c>
      <c r="G484" s="11" t="s">
        <v>1424</v>
      </c>
      <c r="H484" s="3">
        <v>3.6744444399999998</v>
      </c>
      <c r="I484" s="3">
        <v>-77.353611111000006</v>
      </c>
      <c r="J484" s="12">
        <v>33</v>
      </c>
      <c r="K484" s="12">
        <v>28.2</v>
      </c>
      <c r="L484" s="4">
        <v>275.70999999999998</v>
      </c>
      <c r="M484" s="5">
        <v>460</v>
      </c>
      <c r="N484" s="5">
        <v>114</v>
      </c>
      <c r="O484" s="13">
        <v>5</v>
      </c>
      <c r="P484" s="13">
        <v>10</v>
      </c>
    </row>
    <row r="485" spans="1:16" s="19" customFormat="1">
      <c r="A485" s="19" t="s">
        <v>494</v>
      </c>
      <c r="B485" s="19" t="s">
        <v>472</v>
      </c>
      <c r="C485" s="19">
        <v>1993</v>
      </c>
      <c r="D485" s="19" t="s">
        <v>1712</v>
      </c>
      <c r="E485" s="18">
        <v>33993</v>
      </c>
      <c r="F485" s="18" t="str">
        <f t="shared" si="7"/>
        <v>PEPE1993_Enero</v>
      </c>
      <c r="G485" s="26" t="s">
        <v>1599</v>
      </c>
      <c r="H485" s="21">
        <v>3.5121666666666602</v>
      </c>
      <c r="I485" s="21">
        <v>-77.304433333333293</v>
      </c>
      <c r="J485" s="22">
        <v>20.2</v>
      </c>
      <c r="K485" s="22">
        <v>29.5</v>
      </c>
      <c r="L485" s="23">
        <v>11219.15</v>
      </c>
      <c r="M485" s="24">
        <v>80</v>
      </c>
      <c r="N485" s="24">
        <v>69</v>
      </c>
      <c r="O485" s="25">
        <v>17</v>
      </c>
      <c r="P485" s="25">
        <v>55</v>
      </c>
    </row>
    <row r="486" spans="1:16" s="19" customFormat="1">
      <c r="A486" s="19" t="s">
        <v>495</v>
      </c>
      <c r="B486" s="19" t="s">
        <v>472</v>
      </c>
      <c r="C486" s="19">
        <v>1993</v>
      </c>
      <c r="D486" s="19" t="s">
        <v>1712</v>
      </c>
      <c r="E486" s="18">
        <v>33993</v>
      </c>
      <c r="F486" s="18" t="str">
        <f t="shared" si="7"/>
        <v>PEPE1993_Enero</v>
      </c>
      <c r="G486" s="26" t="s">
        <v>1600</v>
      </c>
      <c r="H486" s="21">
        <v>3.4698500000000001</v>
      </c>
      <c r="I486" s="21">
        <v>-77.305033333333299</v>
      </c>
      <c r="J486" s="22">
        <v>20.2</v>
      </c>
      <c r="K486" s="22">
        <v>28.1</v>
      </c>
      <c r="L486" s="23">
        <v>476.84</v>
      </c>
      <c r="M486" s="24">
        <v>1</v>
      </c>
      <c r="N486" s="24">
        <v>2</v>
      </c>
      <c r="O486" s="25">
        <v>0</v>
      </c>
      <c r="P486" s="25">
        <v>1</v>
      </c>
    </row>
    <row r="487" spans="1:16">
      <c r="A487" s="1" t="s">
        <v>496</v>
      </c>
      <c r="B487" s="1" t="s">
        <v>472</v>
      </c>
      <c r="C487" s="1">
        <v>1993</v>
      </c>
      <c r="D487" s="1" t="s">
        <v>1712</v>
      </c>
      <c r="E487" s="17">
        <v>33993</v>
      </c>
      <c r="F487" s="18" t="str">
        <f t="shared" si="7"/>
        <v>PEPE1993_Enero</v>
      </c>
      <c r="G487" s="11" t="s">
        <v>1427</v>
      </c>
      <c r="H487" s="3">
        <v>3.5026666666666602</v>
      </c>
      <c r="I487" s="3">
        <v>-77.365983333333304</v>
      </c>
      <c r="J487" s="12">
        <v>28</v>
      </c>
      <c r="K487" s="12">
        <v>28</v>
      </c>
      <c r="L487" s="4">
        <v>439.52</v>
      </c>
      <c r="M487" s="5">
        <v>123</v>
      </c>
      <c r="N487" s="5">
        <v>159</v>
      </c>
      <c r="O487" s="13">
        <v>154</v>
      </c>
      <c r="P487" s="13">
        <v>79</v>
      </c>
    </row>
    <row r="488" spans="1:16">
      <c r="A488" s="1" t="s">
        <v>497</v>
      </c>
      <c r="B488" s="1" t="s">
        <v>472</v>
      </c>
      <c r="C488" s="1">
        <v>1993</v>
      </c>
      <c r="D488" s="1" t="s">
        <v>1712</v>
      </c>
      <c r="E488" s="17">
        <v>33993</v>
      </c>
      <c r="F488" s="18" t="str">
        <f t="shared" si="7"/>
        <v>PEPE1993_Enero</v>
      </c>
      <c r="G488" s="11" t="s">
        <v>1428</v>
      </c>
      <c r="H488" s="3">
        <v>3.5053666666666601</v>
      </c>
      <c r="I488" s="3">
        <v>-77.443550000000002</v>
      </c>
      <c r="J488" s="12">
        <v>30</v>
      </c>
      <c r="K488" s="12">
        <v>27.6</v>
      </c>
      <c r="L488" s="4">
        <v>683.19</v>
      </c>
      <c r="M488" s="5">
        <v>36</v>
      </c>
      <c r="N488" s="5">
        <v>1071</v>
      </c>
      <c r="O488" s="13">
        <v>0</v>
      </c>
      <c r="P488" s="13">
        <v>224</v>
      </c>
    </row>
    <row r="489" spans="1:16" s="19" customFormat="1">
      <c r="A489" s="19" t="s">
        <v>498</v>
      </c>
      <c r="B489" s="19" t="s">
        <v>472</v>
      </c>
      <c r="C489" s="19">
        <v>1993</v>
      </c>
      <c r="D489" s="19" t="s">
        <v>1712</v>
      </c>
      <c r="E489" s="18">
        <v>33994</v>
      </c>
      <c r="F489" s="18" t="str">
        <f t="shared" si="7"/>
        <v>PEPE1993_Enero</v>
      </c>
      <c r="G489" s="26" t="s">
        <v>1601</v>
      </c>
      <c r="H489" s="21">
        <v>3.0347777699999998</v>
      </c>
      <c r="I489" s="21">
        <v>-77.304433333333293</v>
      </c>
      <c r="J489" s="22">
        <v>20.2</v>
      </c>
      <c r="K489" s="22">
        <v>27.4</v>
      </c>
      <c r="L489" s="23">
        <v>262.01</v>
      </c>
      <c r="M489" s="24">
        <v>1161</v>
      </c>
      <c r="N489" s="24">
        <v>6</v>
      </c>
      <c r="O489" s="25">
        <v>213</v>
      </c>
      <c r="P489" s="25">
        <v>4</v>
      </c>
    </row>
    <row r="490" spans="1:16">
      <c r="A490" s="1" t="s">
        <v>499</v>
      </c>
      <c r="B490" s="1" t="s">
        <v>472</v>
      </c>
      <c r="C490" s="1">
        <v>1993</v>
      </c>
      <c r="D490" s="1" t="s">
        <v>1712</v>
      </c>
      <c r="E490" s="17">
        <v>33994</v>
      </c>
      <c r="F490" s="18" t="str">
        <f t="shared" si="7"/>
        <v>PEPE1993_Enero</v>
      </c>
      <c r="G490" s="11" t="s">
        <v>1558</v>
      </c>
      <c r="H490" s="3">
        <v>3.0348888879999998</v>
      </c>
      <c r="I490" s="3">
        <v>-77.510277777777773</v>
      </c>
      <c r="J490" s="12">
        <v>21.5</v>
      </c>
      <c r="K490" s="12">
        <v>27.2</v>
      </c>
      <c r="L490" s="4">
        <v>69.38</v>
      </c>
      <c r="M490" s="5">
        <v>1886</v>
      </c>
      <c r="N490" s="5">
        <v>90</v>
      </c>
      <c r="O490" s="13">
        <v>22</v>
      </c>
      <c r="P490" s="13">
        <v>81</v>
      </c>
    </row>
    <row r="491" spans="1:16">
      <c r="A491" s="1" t="s">
        <v>500</v>
      </c>
      <c r="B491" s="1" t="s">
        <v>472</v>
      </c>
      <c r="C491" s="1">
        <v>1993</v>
      </c>
      <c r="D491" s="1" t="s">
        <v>1712</v>
      </c>
      <c r="E491" s="17">
        <v>33993</v>
      </c>
      <c r="F491" s="18" t="str">
        <f t="shared" si="7"/>
        <v>PEPE1993_Enero</v>
      </c>
      <c r="G491" s="11" t="s">
        <v>1559</v>
      </c>
      <c r="H491" s="3">
        <v>3.0357500000000002</v>
      </c>
      <c r="I491" s="3">
        <v>-77.572222222222223</v>
      </c>
      <c r="J491" s="12">
        <v>25</v>
      </c>
      <c r="K491" s="12">
        <v>27.1</v>
      </c>
      <c r="L491" s="4">
        <v>502.12</v>
      </c>
      <c r="M491" s="5">
        <v>42</v>
      </c>
      <c r="N491" s="5">
        <v>302</v>
      </c>
      <c r="O491" s="13">
        <v>4</v>
      </c>
      <c r="P491" s="13">
        <v>73</v>
      </c>
    </row>
    <row r="492" spans="1:16">
      <c r="A492" s="1" t="s">
        <v>501</v>
      </c>
      <c r="B492" s="1" t="s">
        <v>472</v>
      </c>
      <c r="C492" s="1">
        <v>1993</v>
      </c>
      <c r="D492" s="1" t="s">
        <v>1712</v>
      </c>
      <c r="E492" s="17">
        <v>33993</v>
      </c>
      <c r="F492" s="18" t="str">
        <f t="shared" si="7"/>
        <v>PEPE1993_Enero</v>
      </c>
      <c r="G492" s="11" t="s">
        <v>1434</v>
      </c>
      <c r="H492" s="3">
        <v>3.3574999999999999</v>
      </c>
      <c r="I492" s="3">
        <v>-77.670555555555552</v>
      </c>
      <c r="J492" s="12">
        <v>32</v>
      </c>
      <c r="K492" s="12">
        <v>27.1</v>
      </c>
      <c r="L492" s="4">
        <v>933.13</v>
      </c>
      <c r="M492" s="5">
        <v>8</v>
      </c>
      <c r="N492" s="5">
        <v>432</v>
      </c>
      <c r="O492" s="13">
        <v>0</v>
      </c>
      <c r="P492" s="13">
        <v>12</v>
      </c>
    </row>
    <row r="493" spans="1:16">
      <c r="A493" s="1" t="s">
        <v>502</v>
      </c>
      <c r="B493" s="1" t="s">
        <v>472</v>
      </c>
      <c r="C493" s="1">
        <v>1993</v>
      </c>
      <c r="D493" s="1" t="s">
        <v>1712</v>
      </c>
      <c r="E493" s="17">
        <v>33994</v>
      </c>
      <c r="F493" s="18" t="str">
        <f t="shared" si="7"/>
        <v>PEPE1993_Enero</v>
      </c>
      <c r="G493" s="11" t="s">
        <v>1437</v>
      </c>
      <c r="H493" s="3">
        <v>3.1769444444444446</v>
      </c>
      <c r="I493" s="3">
        <v>-77.588055555555556</v>
      </c>
      <c r="J493" s="12">
        <v>29</v>
      </c>
      <c r="K493" s="12">
        <v>27.6</v>
      </c>
      <c r="L493" s="4">
        <v>189.53</v>
      </c>
      <c r="M493" s="5">
        <v>589</v>
      </c>
      <c r="N493" s="5">
        <v>285</v>
      </c>
      <c r="O493" s="13">
        <v>187</v>
      </c>
      <c r="P493" s="13">
        <v>217</v>
      </c>
    </row>
    <row r="494" spans="1:16">
      <c r="A494" s="1" t="s">
        <v>503</v>
      </c>
      <c r="B494" s="1" t="s">
        <v>472</v>
      </c>
      <c r="C494" s="1">
        <v>1993</v>
      </c>
      <c r="D494" s="1" t="s">
        <v>1712</v>
      </c>
      <c r="E494" s="17">
        <v>33994</v>
      </c>
      <c r="F494" s="18" t="str">
        <f t="shared" si="7"/>
        <v>PEPE1993_Enero</v>
      </c>
      <c r="G494" s="11" t="s">
        <v>1438</v>
      </c>
      <c r="H494" s="3">
        <v>3.1791666666666663</v>
      </c>
      <c r="I494" s="3">
        <v>-77.881944444444443</v>
      </c>
      <c r="J494" s="12">
        <v>31</v>
      </c>
      <c r="K494" s="12">
        <v>26.9</v>
      </c>
      <c r="L494" s="4">
        <v>537.63</v>
      </c>
      <c r="M494" s="5">
        <v>908</v>
      </c>
      <c r="N494" s="5">
        <v>95</v>
      </c>
      <c r="O494" s="13">
        <v>53</v>
      </c>
      <c r="P494" s="13">
        <v>21</v>
      </c>
    </row>
    <row r="495" spans="1:16">
      <c r="A495" s="1" t="s">
        <v>504</v>
      </c>
      <c r="B495" s="1" t="s">
        <v>472</v>
      </c>
      <c r="C495" s="1">
        <v>1993</v>
      </c>
      <c r="D495" s="1" t="s">
        <v>1712</v>
      </c>
      <c r="E495" s="17">
        <v>33994</v>
      </c>
      <c r="F495" s="18" t="str">
        <f t="shared" si="7"/>
        <v>PEPE1993_Enero</v>
      </c>
      <c r="G495" s="11" t="s">
        <v>1439</v>
      </c>
      <c r="H495" s="3">
        <v>3.3291666666666666</v>
      </c>
      <c r="I495" s="3">
        <v>-77.769722222222228</v>
      </c>
      <c r="J495" s="12">
        <v>31</v>
      </c>
      <c r="K495" s="12">
        <v>27.1</v>
      </c>
      <c r="L495" s="4">
        <v>663.28</v>
      </c>
      <c r="M495" s="5">
        <v>44</v>
      </c>
      <c r="N495" s="5">
        <v>725</v>
      </c>
      <c r="O495" s="13">
        <v>0</v>
      </c>
      <c r="P495" s="13">
        <v>44</v>
      </c>
    </row>
    <row r="496" spans="1:16">
      <c r="A496" s="1" t="s">
        <v>505</v>
      </c>
      <c r="B496" s="1" t="s">
        <v>472</v>
      </c>
      <c r="C496" s="1">
        <v>1993</v>
      </c>
      <c r="D496" s="1" t="s">
        <v>1712</v>
      </c>
      <c r="E496" s="17">
        <v>33994</v>
      </c>
      <c r="F496" s="18" t="str">
        <f t="shared" si="7"/>
        <v>PEPE1993_Enero</v>
      </c>
      <c r="G496" s="11" t="s">
        <v>1562</v>
      </c>
      <c r="H496" s="3">
        <v>3.0049999999999999</v>
      </c>
      <c r="I496" s="3">
        <v>-77.896666666666661</v>
      </c>
      <c r="J496" s="12">
        <v>28</v>
      </c>
      <c r="K496" s="12">
        <v>27.7</v>
      </c>
      <c r="L496" s="4">
        <v>269.91000000000003</v>
      </c>
      <c r="M496" s="5">
        <v>281</v>
      </c>
      <c r="N496" s="5">
        <v>16</v>
      </c>
      <c r="O496" s="13">
        <v>124</v>
      </c>
      <c r="P496" s="13">
        <v>13</v>
      </c>
    </row>
    <row r="497" spans="1:16">
      <c r="A497" s="1" t="s">
        <v>506</v>
      </c>
      <c r="B497" s="1" t="s">
        <v>472</v>
      </c>
      <c r="C497" s="1">
        <v>1993</v>
      </c>
      <c r="D497" s="1" t="s">
        <v>1712</v>
      </c>
      <c r="E497" s="17">
        <v>33994</v>
      </c>
      <c r="F497" s="18" t="str">
        <f t="shared" si="7"/>
        <v>PEPE1993_Enero</v>
      </c>
      <c r="G497" s="11" t="s">
        <v>1443</v>
      </c>
      <c r="H497" s="3">
        <v>3.0241666666666669</v>
      </c>
      <c r="I497" s="3">
        <v>-77.780277777777783</v>
      </c>
      <c r="J497" s="12">
        <v>27</v>
      </c>
      <c r="K497" s="12">
        <v>27.5</v>
      </c>
      <c r="L497" s="4">
        <v>964.32</v>
      </c>
      <c r="M497" s="5">
        <v>433</v>
      </c>
      <c r="N497" s="5">
        <v>338</v>
      </c>
      <c r="O497" s="13">
        <v>96</v>
      </c>
      <c r="P497" s="13">
        <v>92</v>
      </c>
    </row>
    <row r="498" spans="1:16" s="19" customFormat="1">
      <c r="A498" s="19" t="s">
        <v>507</v>
      </c>
      <c r="B498" s="19" t="s">
        <v>472</v>
      </c>
      <c r="C498" s="19">
        <v>1993</v>
      </c>
      <c r="D498" s="19" t="s">
        <v>1712</v>
      </c>
      <c r="E498" s="18">
        <v>33994</v>
      </c>
      <c r="F498" s="18" t="str">
        <f t="shared" si="7"/>
        <v>PEPE1993_Enero</v>
      </c>
      <c r="G498" s="26" t="s">
        <v>1602</v>
      </c>
      <c r="H498" s="21">
        <v>2.9377777777777778</v>
      </c>
      <c r="I498" s="21">
        <v>-77.710277777777776</v>
      </c>
      <c r="J498" s="22">
        <v>23</v>
      </c>
      <c r="K498" s="22">
        <v>28.6</v>
      </c>
      <c r="L498" s="23">
        <v>1555.77</v>
      </c>
      <c r="M498" s="24">
        <v>5</v>
      </c>
      <c r="N498" s="24">
        <v>5</v>
      </c>
      <c r="O498" s="25">
        <v>1</v>
      </c>
      <c r="P498" s="25">
        <v>1</v>
      </c>
    </row>
    <row r="499" spans="1:16">
      <c r="A499" s="1" t="s">
        <v>508</v>
      </c>
      <c r="B499" s="1" t="s">
        <v>472</v>
      </c>
      <c r="C499" s="1">
        <v>1993</v>
      </c>
      <c r="D499" s="1" t="s">
        <v>1712</v>
      </c>
      <c r="E499" s="17">
        <v>33994</v>
      </c>
      <c r="F499" s="18" t="str">
        <f t="shared" si="7"/>
        <v>PEPE1993_Enero</v>
      </c>
      <c r="G499" s="11" t="s">
        <v>1519</v>
      </c>
      <c r="H499" s="3">
        <v>2.8372222222222225</v>
      </c>
      <c r="I499" s="3">
        <v>-77.797777777777782</v>
      </c>
      <c r="J499" s="12">
        <v>28</v>
      </c>
      <c r="K499" s="12">
        <v>28</v>
      </c>
      <c r="L499" s="4">
        <v>662.25</v>
      </c>
      <c r="M499" s="5">
        <v>29</v>
      </c>
      <c r="N499" s="5">
        <v>68</v>
      </c>
      <c r="O499" s="13">
        <v>1</v>
      </c>
      <c r="P499" s="13">
        <v>48</v>
      </c>
    </row>
    <row r="500" spans="1:16">
      <c r="A500" s="1" t="s">
        <v>509</v>
      </c>
      <c r="B500" s="1" t="s">
        <v>472</v>
      </c>
      <c r="C500" s="1">
        <v>1993</v>
      </c>
      <c r="D500" s="1" t="s">
        <v>1712</v>
      </c>
      <c r="E500" s="17">
        <v>33994</v>
      </c>
      <c r="F500" s="18" t="str">
        <f t="shared" si="7"/>
        <v>PEPE1993_Enero</v>
      </c>
      <c r="G500" s="11" t="s">
        <v>1447</v>
      </c>
      <c r="H500" s="3">
        <v>2.8488888888888892</v>
      </c>
      <c r="I500" s="3">
        <v>-77.836944444444441</v>
      </c>
      <c r="J500" s="12">
        <v>30</v>
      </c>
      <c r="K500" s="12">
        <v>27.2</v>
      </c>
      <c r="L500" s="4">
        <v>463.68</v>
      </c>
      <c r="M500" s="5">
        <v>2237</v>
      </c>
      <c r="N500" s="5">
        <v>16</v>
      </c>
      <c r="O500" s="13">
        <v>4</v>
      </c>
      <c r="P500" s="13">
        <v>12</v>
      </c>
    </row>
    <row r="501" spans="1:16">
      <c r="A501" s="1" t="s">
        <v>510</v>
      </c>
      <c r="B501" s="1" t="s">
        <v>472</v>
      </c>
      <c r="C501" s="1">
        <v>1993</v>
      </c>
      <c r="D501" s="1" t="s">
        <v>1712</v>
      </c>
      <c r="E501" s="17">
        <v>33996</v>
      </c>
      <c r="F501" s="18" t="str">
        <f t="shared" si="7"/>
        <v>PEPE1993_Enero</v>
      </c>
      <c r="G501" s="11" t="s">
        <v>1603</v>
      </c>
      <c r="H501" s="3">
        <v>2.6922222222222221</v>
      </c>
      <c r="I501" s="3">
        <v>-78.19027777777778</v>
      </c>
      <c r="J501" s="12">
        <v>15.5</v>
      </c>
      <c r="K501" s="12">
        <v>27.5</v>
      </c>
      <c r="L501" s="4">
        <v>10.7</v>
      </c>
      <c r="M501" s="5">
        <v>166</v>
      </c>
      <c r="N501" s="5">
        <v>10</v>
      </c>
      <c r="O501" s="13">
        <v>46</v>
      </c>
      <c r="P501" s="13">
        <v>5</v>
      </c>
    </row>
    <row r="502" spans="1:16">
      <c r="A502" s="1" t="s">
        <v>511</v>
      </c>
      <c r="B502" s="1" t="s">
        <v>472</v>
      </c>
      <c r="C502" s="1">
        <v>1993</v>
      </c>
      <c r="D502" s="1" t="s">
        <v>1712</v>
      </c>
      <c r="E502" s="17">
        <v>33996</v>
      </c>
      <c r="F502" s="18" t="str">
        <f t="shared" si="7"/>
        <v>PEPE1993_Enero</v>
      </c>
      <c r="G502" s="11" t="s">
        <v>1604</v>
      </c>
      <c r="H502" s="3">
        <v>2.6283333333333339</v>
      </c>
      <c r="I502" s="3">
        <v>-77.941944444444445</v>
      </c>
      <c r="J502" s="12">
        <v>15</v>
      </c>
      <c r="K502" s="12">
        <v>27.2</v>
      </c>
      <c r="L502" s="4">
        <v>127.82</v>
      </c>
      <c r="M502" s="5">
        <v>10</v>
      </c>
      <c r="N502" s="5">
        <v>4</v>
      </c>
      <c r="O502" s="13">
        <v>1</v>
      </c>
      <c r="P502" s="13">
        <v>2</v>
      </c>
    </row>
    <row r="503" spans="1:16">
      <c r="A503" s="1" t="s">
        <v>512</v>
      </c>
      <c r="B503" s="1" t="s">
        <v>472</v>
      </c>
      <c r="C503" s="1">
        <v>1993</v>
      </c>
      <c r="D503" s="1" t="s">
        <v>1712</v>
      </c>
      <c r="E503" s="17">
        <v>33996</v>
      </c>
      <c r="F503" s="18" t="str">
        <f t="shared" si="7"/>
        <v>PEPE1993_Enero</v>
      </c>
      <c r="G503" s="11" t="s">
        <v>1565</v>
      </c>
      <c r="H503" s="3">
        <v>2.6869444444444444</v>
      </c>
      <c r="I503" s="3">
        <v>-78.350555555555559</v>
      </c>
      <c r="J503" s="12">
        <v>29</v>
      </c>
      <c r="K503" s="12">
        <v>28.3</v>
      </c>
      <c r="L503" s="4">
        <v>873.82</v>
      </c>
      <c r="M503" s="5">
        <v>431</v>
      </c>
      <c r="N503" s="5">
        <v>24</v>
      </c>
      <c r="O503" s="13">
        <v>52</v>
      </c>
      <c r="P503" s="13">
        <v>4</v>
      </c>
    </row>
    <row r="504" spans="1:16">
      <c r="A504" s="1" t="s">
        <v>513</v>
      </c>
      <c r="B504" s="1" t="s">
        <v>472</v>
      </c>
      <c r="C504" s="1">
        <v>1993</v>
      </c>
      <c r="D504" s="1" t="s">
        <v>1712</v>
      </c>
      <c r="E504" s="17">
        <v>33996</v>
      </c>
      <c r="F504" s="18" t="str">
        <f t="shared" si="7"/>
        <v>PEPE1993_Enero</v>
      </c>
      <c r="G504" s="11" t="s">
        <v>1522</v>
      </c>
      <c r="H504" s="3">
        <v>2.6933333333333334</v>
      </c>
      <c r="I504" s="3">
        <v>-78.447222222222223</v>
      </c>
      <c r="J504" s="12">
        <v>30</v>
      </c>
      <c r="K504" s="12">
        <v>28.4</v>
      </c>
      <c r="L504" s="4">
        <v>399.82</v>
      </c>
      <c r="M504" s="5">
        <v>73</v>
      </c>
      <c r="N504" s="5">
        <v>275</v>
      </c>
      <c r="O504" s="13">
        <v>6</v>
      </c>
      <c r="P504" s="13">
        <v>6</v>
      </c>
    </row>
    <row r="505" spans="1:16">
      <c r="A505" s="1" t="s">
        <v>514</v>
      </c>
      <c r="B505" s="1" t="s">
        <v>472</v>
      </c>
      <c r="C505" s="1">
        <v>1993</v>
      </c>
      <c r="D505" s="1" t="s">
        <v>1712</v>
      </c>
      <c r="E505" s="17">
        <v>33996</v>
      </c>
      <c r="F505" s="18" t="str">
        <f t="shared" si="7"/>
        <v>PEPE1993_Enero</v>
      </c>
      <c r="G505" s="11" t="s">
        <v>1456</v>
      </c>
      <c r="H505" s="3">
        <v>2.5233333333333334</v>
      </c>
      <c r="I505" s="3">
        <v>-78.54976666666667</v>
      </c>
      <c r="J505" s="12">
        <v>30</v>
      </c>
      <c r="K505" s="12">
        <v>27.9</v>
      </c>
      <c r="L505" s="4">
        <v>500.19</v>
      </c>
      <c r="M505" s="5">
        <v>637</v>
      </c>
      <c r="N505" s="5">
        <v>31</v>
      </c>
      <c r="O505" s="13">
        <v>33</v>
      </c>
      <c r="P505" s="13">
        <v>11</v>
      </c>
    </row>
    <row r="506" spans="1:16">
      <c r="A506" s="1" t="s">
        <v>515</v>
      </c>
      <c r="B506" s="1" t="s">
        <v>472</v>
      </c>
      <c r="C506" s="1">
        <v>1993</v>
      </c>
      <c r="D506" s="1" t="s">
        <v>1712</v>
      </c>
      <c r="E506" s="17">
        <v>33996</v>
      </c>
      <c r="F506" s="18" t="str">
        <f t="shared" si="7"/>
        <v>PEPE1993_Enero</v>
      </c>
      <c r="G506" s="11" t="s">
        <v>1569</v>
      </c>
      <c r="H506" s="3">
        <v>2.3594444444444447</v>
      </c>
      <c r="I506" s="3">
        <v>-78.643166666666673</v>
      </c>
      <c r="J506" s="12">
        <v>28</v>
      </c>
      <c r="K506" s="12">
        <v>27.6</v>
      </c>
      <c r="L506" s="4">
        <v>384</v>
      </c>
      <c r="M506" s="5">
        <v>754</v>
      </c>
      <c r="N506" s="5">
        <v>101</v>
      </c>
      <c r="O506" s="13">
        <v>281</v>
      </c>
      <c r="P506" s="13">
        <v>65</v>
      </c>
    </row>
    <row r="507" spans="1:16">
      <c r="A507" s="1" t="s">
        <v>516</v>
      </c>
      <c r="B507" s="1" t="s">
        <v>472</v>
      </c>
      <c r="C507" s="1">
        <v>1993</v>
      </c>
      <c r="D507" s="1" t="s">
        <v>1712</v>
      </c>
      <c r="E507" s="17">
        <v>33996</v>
      </c>
      <c r="F507" s="18" t="str">
        <f t="shared" si="7"/>
        <v>PEPE1993_Enero</v>
      </c>
      <c r="G507" s="11" t="s">
        <v>1462</v>
      </c>
      <c r="H507" s="3">
        <v>2.338055555555556</v>
      </c>
      <c r="I507" s="3">
        <v>-78.725833333333327</v>
      </c>
      <c r="J507" s="12">
        <v>31</v>
      </c>
      <c r="K507" s="12">
        <v>27.3</v>
      </c>
      <c r="L507" s="4">
        <v>14.18</v>
      </c>
      <c r="M507" s="5">
        <v>4</v>
      </c>
      <c r="N507" s="5">
        <v>21</v>
      </c>
      <c r="O507" s="13">
        <v>1</v>
      </c>
      <c r="P507" s="13">
        <v>10</v>
      </c>
    </row>
    <row r="508" spans="1:16">
      <c r="A508" s="1" t="s">
        <v>517</v>
      </c>
      <c r="B508" s="1" t="s">
        <v>472</v>
      </c>
      <c r="C508" s="1">
        <v>1993</v>
      </c>
      <c r="D508" s="1" t="s">
        <v>1712</v>
      </c>
      <c r="E508" s="17">
        <v>33996</v>
      </c>
      <c r="F508" s="18" t="str">
        <f t="shared" si="7"/>
        <v>PEPE1993_Enero</v>
      </c>
      <c r="G508" s="11" t="s">
        <v>1463</v>
      </c>
      <c r="H508" s="3">
        <v>2.3427777777777781</v>
      </c>
      <c r="I508" s="3">
        <v>-78.804722222222225</v>
      </c>
      <c r="J508" s="12">
        <v>31</v>
      </c>
      <c r="K508" s="12">
        <v>27.5</v>
      </c>
      <c r="L508" s="4">
        <v>579.71</v>
      </c>
      <c r="M508" s="5">
        <v>4</v>
      </c>
      <c r="N508" s="5">
        <v>32</v>
      </c>
      <c r="O508" s="13">
        <v>0</v>
      </c>
      <c r="P508" s="13">
        <v>10</v>
      </c>
    </row>
    <row r="509" spans="1:16">
      <c r="A509" s="1" t="s">
        <v>518</v>
      </c>
      <c r="B509" s="1" t="s">
        <v>472</v>
      </c>
      <c r="C509" s="1">
        <v>1993</v>
      </c>
      <c r="D509" s="1" t="s">
        <v>1712</v>
      </c>
      <c r="E509" s="17">
        <v>33996</v>
      </c>
      <c r="F509" s="18" t="str">
        <f t="shared" si="7"/>
        <v>PEPE1993_Enero</v>
      </c>
      <c r="G509" s="11" t="s">
        <v>1466</v>
      </c>
      <c r="H509" s="3">
        <v>2.1827777777777779</v>
      </c>
      <c r="I509" s="3">
        <v>-78.728611111111107</v>
      </c>
      <c r="J509" s="12">
        <v>30.5</v>
      </c>
      <c r="K509" s="12">
        <v>27.2</v>
      </c>
      <c r="L509" s="4">
        <v>57.47</v>
      </c>
      <c r="M509" s="5">
        <v>1476</v>
      </c>
      <c r="N509" s="5">
        <v>1653</v>
      </c>
      <c r="O509" s="13">
        <v>44</v>
      </c>
      <c r="P509" s="13">
        <v>1358</v>
      </c>
    </row>
    <row r="510" spans="1:16">
      <c r="A510" s="1" t="s">
        <v>519</v>
      </c>
      <c r="B510" s="1" t="s">
        <v>472</v>
      </c>
      <c r="C510" s="1">
        <v>1993</v>
      </c>
      <c r="D510" s="1" t="s">
        <v>1712</v>
      </c>
      <c r="E510" s="17">
        <v>33997</v>
      </c>
      <c r="F510" s="18" t="str">
        <f t="shared" si="7"/>
        <v>PEPE1993_Enero</v>
      </c>
      <c r="G510" s="11" t="s">
        <v>1605</v>
      </c>
      <c r="H510" s="3">
        <v>1.9758333333333331</v>
      </c>
      <c r="I510" s="3">
        <v>-78.642833333333328</v>
      </c>
      <c r="J510" s="12">
        <v>30</v>
      </c>
      <c r="K510" s="12">
        <v>27.5</v>
      </c>
      <c r="L510" s="4">
        <v>649.77</v>
      </c>
      <c r="M510" s="5">
        <v>490</v>
      </c>
      <c r="N510" s="5">
        <v>24</v>
      </c>
      <c r="O510" s="13">
        <v>29</v>
      </c>
      <c r="P510" s="13">
        <v>7</v>
      </c>
    </row>
    <row r="511" spans="1:16">
      <c r="A511" s="1" t="s">
        <v>520</v>
      </c>
      <c r="B511" s="1" t="s">
        <v>472</v>
      </c>
      <c r="C511" s="1">
        <v>1993</v>
      </c>
      <c r="D511" s="1" t="s">
        <v>1712</v>
      </c>
      <c r="E511" s="17">
        <v>33997</v>
      </c>
      <c r="F511" s="18" t="str">
        <f t="shared" si="7"/>
        <v>PEPE1993_Enero</v>
      </c>
      <c r="G511" s="11" t="s">
        <v>1606</v>
      </c>
      <c r="H511" s="3">
        <v>1.8844444444444441</v>
      </c>
      <c r="I511" s="3">
        <v>-78.585666666666668</v>
      </c>
      <c r="J511" s="12">
        <v>25</v>
      </c>
      <c r="K511" s="12">
        <v>28.2</v>
      </c>
      <c r="L511" s="4">
        <v>943.4</v>
      </c>
      <c r="M511" s="5">
        <v>27</v>
      </c>
      <c r="N511" s="5">
        <v>7</v>
      </c>
      <c r="O511" s="13">
        <v>1</v>
      </c>
      <c r="P511" s="13">
        <v>3</v>
      </c>
    </row>
    <row r="512" spans="1:16">
      <c r="A512" s="1" t="s">
        <v>521</v>
      </c>
      <c r="B512" s="1" t="s">
        <v>472</v>
      </c>
      <c r="C512" s="1">
        <v>1993</v>
      </c>
      <c r="D512" s="1" t="s">
        <v>1712</v>
      </c>
      <c r="E512" s="17">
        <v>33997</v>
      </c>
      <c r="F512" s="18" t="str">
        <f t="shared" si="7"/>
        <v>PEPE1993_Enero</v>
      </c>
      <c r="G512" s="11" t="s">
        <v>1607</v>
      </c>
      <c r="H512" s="3">
        <v>1.8469444444444445</v>
      </c>
      <c r="I512" s="3">
        <v>-78.698333333333338</v>
      </c>
      <c r="J512" s="12">
        <v>31.5</v>
      </c>
      <c r="K512" s="12">
        <v>27.7</v>
      </c>
      <c r="L512" s="4">
        <v>2721.52</v>
      </c>
      <c r="M512" s="5">
        <v>215</v>
      </c>
      <c r="N512" s="5">
        <v>4</v>
      </c>
      <c r="O512" s="13">
        <v>153</v>
      </c>
      <c r="P512" s="13">
        <v>1</v>
      </c>
    </row>
    <row r="513" spans="1:16">
      <c r="A513" s="1" t="s">
        <v>522</v>
      </c>
      <c r="B513" s="1" t="s">
        <v>472</v>
      </c>
      <c r="C513" s="1">
        <v>1993</v>
      </c>
      <c r="D513" s="1" t="s">
        <v>1712</v>
      </c>
      <c r="E513" s="17">
        <v>33997</v>
      </c>
      <c r="F513" s="18" t="str">
        <f t="shared" si="7"/>
        <v>PEPE1993_Enero</v>
      </c>
      <c r="G513" s="11" t="s">
        <v>1471</v>
      </c>
      <c r="H513" s="3">
        <v>2.0324999999999998</v>
      </c>
      <c r="I513" s="3">
        <v>-78.686283333333336</v>
      </c>
      <c r="J513" s="12">
        <v>28</v>
      </c>
      <c r="K513" s="12">
        <v>27.2</v>
      </c>
      <c r="L513" s="4">
        <v>754.31</v>
      </c>
      <c r="M513" s="5">
        <v>3866</v>
      </c>
      <c r="N513" s="5">
        <v>358</v>
      </c>
      <c r="O513" s="13">
        <v>2563</v>
      </c>
      <c r="P513" s="13">
        <v>90</v>
      </c>
    </row>
    <row r="514" spans="1:16">
      <c r="A514" s="1" t="s">
        <v>523</v>
      </c>
      <c r="B514" s="1" t="s">
        <v>472</v>
      </c>
      <c r="C514" s="1">
        <v>1993</v>
      </c>
      <c r="D514" s="1" t="s">
        <v>1712</v>
      </c>
      <c r="E514" s="17">
        <v>33997</v>
      </c>
      <c r="F514" s="18" t="str">
        <f t="shared" si="7"/>
        <v>PEPE1993_Enero</v>
      </c>
      <c r="G514" s="11" t="s">
        <v>1472</v>
      </c>
      <c r="H514" s="3">
        <v>2.2366666666666664</v>
      </c>
      <c r="I514" s="3">
        <v>-78.757133333333329</v>
      </c>
      <c r="J514" s="12">
        <v>30</v>
      </c>
      <c r="K514" s="12">
        <v>27</v>
      </c>
      <c r="L514" s="4">
        <v>67.849999999999994</v>
      </c>
      <c r="M514" s="5">
        <v>731</v>
      </c>
      <c r="N514" s="5">
        <v>438</v>
      </c>
      <c r="O514" s="13">
        <v>363</v>
      </c>
      <c r="P514" s="13">
        <v>200</v>
      </c>
    </row>
    <row r="515" spans="1:16">
      <c r="A515" s="1" t="s">
        <v>524</v>
      </c>
      <c r="B515" s="1" t="s">
        <v>472</v>
      </c>
      <c r="C515" s="1">
        <v>1993</v>
      </c>
      <c r="D515" s="1" t="s">
        <v>1712</v>
      </c>
      <c r="E515" s="17">
        <v>33997</v>
      </c>
      <c r="F515" s="18" t="str">
        <f t="shared" ref="F515:F578" si="8">"PEPE"&amp;C515&amp;"_"&amp;D515</f>
        <v>PEPE1993_Enero</v>
      </c>
      <c r="G515" s="11" t="s">
        <v>1473</v>
      </c>
      <c r="H515" s="3">
        <v>2.0155555555555553</v>
      </c>
      <c r="I515" s="3">
        <v>-78.836666666666673</v>
      </c>
      <c r="J515" s="12">
        <v>28</v>
      </c>
      <c r="K515" s="12">
        <v>27</v>
      </c>
      <c r="L515" s="4">
        <v>365.23</v>
      </c>
      <c r="M515" s="5">
        <v>37</v>
      </c>
      <c r="N515" s="5">
        <v>629</v>
      </c>
      <c r="O515" s="13">
        <v>0</v>
      </c>
      <c r="P515" s="13">
        <v>168</v>
      </c>
    </row>
    <row r="516" spans="1:16">
      <c r="A516" s="1" t="s">
        <v>525</v>
      </c>
      <c r="B516" s="1" t="s">
        <v>472</v>
      </c>
      <c r="C516" s="1">
        <v>1993</v>
      </c>
      <c r="D516" s="1" t="s">
        <v>1712</v>
      </c>
      <c r="E516" s="17">
        <v>33998</v>
      </c>
      <c r="F516" s="18" t="str">
        <f t="shared" si="8"/>
        <v>PEPE1993_Enero</v>
      </c>
      <c r="G516" s="11" t="s">
        <v>1477</v>
      </c>
      <c r="H516" s="3">
        <v>1.8530555555555557</v>
      </c>
      <c r="I516" s="3">
        <v>-78.756388888888893</v>
      </c>
      <c r="J516" s="12">
        <v>29</v>
      </c>
      <c r="K516" s="12">
        <v>26.9</v>
      </c>
      <c r="L516" s="4">
        <v>754.74</v>
      </c>
      <c r="M516" s="5">
        <v>121</v>
      </c>
      <c r="N516" s="5">
        <v>102</v>
      </c>
      <c r="O516" s="13">
        <v>14</v>
      </c>
      <c r="P516" s="13">
        <v>93</v>
      </c>
    </row>
    <row r="517" spans="1:16">
      <c r="A517" s="1" t="s">
        <v>526</v>
      </c>
      <c r="B517" s="1" t="s">
        <v>472</v>
      </c>
      <c r="C517" s="1">
        <v>1993</v>
      </c>
      <c r="D517" s="1" t="s">
        <v>1712</v>
      </c>
      <c r="E517" s="17">
        <v>33998</v>
      </c>
      <c r="F517" s="18" t="str">
        <f t="shared" si="8"/>
        <v>PEPE1993_Enero</v>
      </c>
      <c r="G517" s="11" t="s">
        <v>1478</v>
      </c>
      <c r="H517" s="3">
        <v>1.8497222222222227</v>
      </c>
      <c r="I517" s="3">
        <v>-78.938888888888883</v>
      </c>
      <c r="J517" s="12">
        <v>29.5</v>
      </c>
      <c r="K517" s="12">
        <v>26.9</v>
      </c>
      <c r="L517" s="4">
        <v>471.04</v>
      </c>
      <c r="M517" s="5">
        <v>307</v>
      </c>
      <c r="N517" s="5">
        <v>644</v>
      </c>
      <c r="O517" s="1">
        <v>293</v>
      </c>
      <c r="P517" s="1">
        <v>575</v>
      </c>
    </row>
    <row r="518" spans="1:16">
      <c r="A518" s="1" t="s">
        <v>527</v>
      </c>
      <c r="B518" s="1" t="s">
        <v>472</v>
      </c>
      <c r="C518" s="1">
        <v>1993</v>
      </c>
      <c r="D518" s="1" t="s">
        <v>1712</v>
      </c>
      <c r="E518" s="17">
        <v>33998</v>
      </c>
      <c r="F518" s="18" t="str">
        <f t="shared" si="8"/>
        <v>PEPE1993_Enero</v>
      </c>
      <c r="G518" s="11" t="s">
        <v>1479</v>
      </c>
      <c r="H518" s="3">
        <v>1.8369444444444447</v>
      </c>
      <c r="I518" s="3">
        <v>-79.049722222222229</v>
      </c>
      <c r="J518" s="12">
        <v>32</v>
      </c>
      <c r="K518" s="12">
        <v>26.8</v>
      </c>
      <c r="L518" s="4">
        <v>319.18</v>
      </c>
      <c r="M518" s="5">
        <v>61</v>
      </c>
      <c r="N518" s="5">
        <v>426</v>
      </c>
      <c r="O518" s="13">
        <v>0</v>
      </c>
      <c r="P518" s="13">
        <v>52</v>
      </c>
    </row>
    <row r="519" spans="1:16">
      <c r="A519" s="1" t="s">
        <v>528</v>
      </c>
      <c r="B519" s="1" t="s">
        <v>472</v>
      </c>
      <c r="C519" s="1">
        <v>1993</v>
      </c>
      <c r="D519" s="1" t="s">
        <v>1712</v>
      </c>
      <c r="E519" s="17">
        <v>33998</v>
      </c>
      <c r="F519" s="18" t="str">
        <f t="shared" si="8"/>
        <v>PEPE1993_Enero</v>
      </c>
      <c r="G519" s="11" t="s">
        <v>1576</v>
      </c>
      <c r="H519" s="3">
        <v>1.690833333333333</v>
      </c>
      <c r="I519" s="3">
        <v>-79.082222222222228</v>
      </c>
      <c r="J519" s="12">
        <v>19</v>
      </c>
      <c r="K519" s="12">
        <v>27.4</v>
      </c>
      <c r="L519" s="4">
        <v>394.63</v>
      </c>
      <c r="M519" s="5">
        <v>15</v>
      </c>
      <c r="N519" s="5">
        <v>86</v>
      </c>
      <c r="O519" s="13">
        <v>11</v>
      </c>
      <c r="P519" s="13">
        <v>37</v>
      </c>
    </row>
    <row r="520" spans="1:16">
      <c r="A520" s="1" t="s">
        <v>529</v>
      </c>
      <c r="B520" s="1" t="s">
        <v>472</v>
      </c>
      <c r="C520" s="1">
        <v>1993</v>
      </c>
      <c r="D520" s="1" t="s">
        <v>1712</v>
      </c>
      <c r="E520" s="17">
        <v>33998</v>
      </c>
      <c r="F520" s="18" t="str">
        <f t="shared" si="8"/>
        <v>PEPE1993_Enero</v>
      </c>
      <c r="G520" s="11" t="s">
        <v>1487</v>
      </c>
      <c r="H520" s="3">
        <v>1.5136111111111115</v>
      </c>
      <c r="I520" s="3">
        <v>-78.956833333333336</v>
      </c>
      <c r="J520" s="12">
        <v>26</v>
      </c>
      <c r="K520" s="12">
        <v>27</v>
      </c>
      <c r="L520" s="4">
        <v>25789.47</v>
      </c>
      <c r="M520" s="5">
        <v>34</v>
      </c>
      <c r="N520" s="5">
        <v>274</v>
      </c>
      <c r="O520" s="13">
        <v>0</v>
      </c>
      <c r="P520" s="13">
        <v>171</v>
      </c>
    </row>
    <row r="521" spans="1:16">
      <c r="A521" s="1" t="s">
        <v>530</v>
      </c>
      <c r="B521" s="1" t="s">
        <v>472</v>
      </c>
      <c r="C521" s="1">
        <v>1993</v>
      </c>
      <c r="D521" s="1" t="s">
        <v>1712</v>
      </c>
      <c r="E521" s="17">
        <v>33998</v>
      </c>
      <c r="F521" s="18" t="str">
        <f t="shared" si="8"/>
        <v>PEPE1993_Enero</v>
      </c>
      <c r="G521" s="11" t="s">
        <v>1488</v>
      </c>
      <c r="H521" s="3">
        <v>1.5158333333333331</v>
      </c>
      <c r="I521" s="3">
        <v>-79.017166666666668</v>
      </c>
      <c r="J521" s="12">
        <v>28</v>
      </c>
      <c r="K521" s="12">
        <v>27.3</v>
      </c>
      <c r="L521" s="4">
        <v>565.9</v>
      </c>
      <c r="M521" s="5">
        <v>173</v>
      </c>
      <c r="N521" s="5">
        <v>658</v>
      </c>
      <c r="O521" s="13">
        <v>0</v>
      </c>
      <c r="P521" s="13">
        <v>62</v>
      </c>
    </row>
    <row r="522" spans="1:16" s="19" customFormat="1">
      <c r="A522" s="19" t="s">
        <v>531</v>
      </c>
      <c r="B522" s="19" t="s">
        <v>472</v>
      </c>
      <c r="C522" s="19">
        <v>1993</v>
      </c>
      <c r="D522" s="19" t="s">
        <v>1712</v>
      </c>
      <c r="E522" s="18">
        <v>33995</v>
      </c>
      <c r="F522" s="18" t="str">
        <f t="shared" si="8"/>
        <v>PEPE1993_Enero</v>
      </c>
      <c r="G522" s="19" t="s">
        <v>1608</v>
      </c>
      <c r="H522" s="21">
        <v>2.9672222222222224</v>
      </c>
      <c r="I522" s="21">
        <v>-78.17583333333333</v>
      </c>
      <c r="J522" s="22">
        <v>31</v>
      </c>
      <c r="K522" s="22">
        <v>27.2</v>
      </c>
      <c r="L522" s="23">
        <v>854.7</v>
      </c>
      <c r="M522" s="24">
        <v>197</v>
      </c>
      <c r="N522" s="24">
        <v>1765</v>
      </c>
      <c r="O522" s="25">
        <v>0</v>
      </c>
      <c r="P522" s="25">
        <v>120</v>
      </c>
    </row>
    <row r="523" spans="1:16" s="19" customFormat="1">
      <c r="A523" s="19" t="s">
        <v>532</v>
      </c>
      <c r="B523" s="19" t="s">
        <v>472</v>
      </c>
      <c r="C523" s="19">
        <v>1993</v>
      </c>
      <c r="D523" s="19" t="s">
        <v>1712</v>
      </c>
      <c r="E523" s="18">
        <v>33995</v>
      </c>
      <c r="F523" s="18" t="str">
        <f t="shared" si="8"/>
        <v>PEPE1993_Enero</v>
      </c>
      <c r="G523" s="19" t="s">
        <v>1609</v>
      </c>
      <c r="H523" s="21">
        <v>2.990277777777778</v>
      </c>
      <c r="I523" s="21">
        <v>-78.167222222222222</v>
      </c>
      <c r="J523" s="22">
        <v>32</v>
      </c>
      <c r="K523" s="22">
        <v>26.9</v>
      </c>
      <c r="L523" s="23">
        <v>631.97</v>
      </c>
      <c r="M523" s="24">
        <v>67</v>
      </c>
      <c r="N523" s="24">
        <v>571</v>
      </c>
      <c r="O523" s="25">
        <v>0</v>
      </c>
      <c r="P523" s="25">
        <v>45</v>
      </c>
    </row>
    <row r="524" spans="1:16" s="19" customFormat="1">
      <c r="A524" s="19" t="s">
        <v>533</v>
      </c>
      <c r="B524" s="19" t="s">
        <v>472</v>
      </c>
      <c r="C524" s="19">
        <v>1993</v>
      </c>
      <c r="D524" s="19" t="s">
        <v>1712</v>
      </c>
      <c r="E524" s="18">
        <v>33995</v>
      </c>
      <c r="F524" s="18" t="str">
        <f t="shared" si="8"/>
        <v>PEPE1993_Enero</v>
      </c>
      <c r="G524" s="19" t="s">
        <v>1610</v>
      </c>
      <c r="H524" s="21">
        <v>2.9683333333333337</v>
      </c>
      <c r="I524" s="21">
        <v>-78.175555555555562</v>
      </c>
      <c r="J524" s="22">
        <v>31</v>
      </c>
      <c r="K524" s="22">
        <v>27.5</v>
      </c>
      <c r="L524" s="23">
        <v>666.84449186449717</v>
      </c>
      <c r="M524" s="24">
        <v>15</v>
      </c>
      <c r="N524" s="24">
        <v>302</v>
      </c>
      <c r="O524" s="25">
        <v>0</v>
      </c>
      <c r="P524" s="25">
        <v>19</v>
      </c>
    </row>
    <row r="525" spans="1:16" s="19" customFormat="1">
      <c r="A525" s="19" t="s">
        <v>534</v>
      </c>
      <c r="B525" s="19" t="s">
        <v>472</v>
      </c>
      <c r="C525" s="19">
        <v>1993</v>
      </c>
      <c r="D525" s="19" t="s">
        <v>1712</v>
      </c>
      <c r="E525" s="18">
        <v>33995</v>
      </c>
      <c r="F525" s="18" t="str">
        <f t="shared" si="8"/>
        <v>PEPE1993_Enero</v>
      </c>
      <c r="G525" s="19" t="s">
        <v>1611</v>
      </c>
      <c r="H525" s="21">
        <v>3.1105555555555551</v>
      </c>
      <c r="I525" s="21">
        <v>-78.166666666666671</v>
      </c>
      <c r="J525" s="22">
        <v>32</v>
      </c>
      <c r="K525" s="22">
        <v>27.1</v>
      </c>
      <c r="L525" s="23">
        <v>984.25196850393695</v>
      </c>
      <c r="M525" s="24">
        <v>75</v>
      </c>
      <c r="N525" s="24">
        <v>626</v>
      </c>
      <c r="O525" s="25">
        <v>0</v>
      </c>
      <c r="P525" s="25">
        <v>0</v>
      </c>
    </row>
    <row r="526" spans="1:16" s="19" customFormat="1">
      <c r="A526" s="19" t="s">
        <v>535</v>
      </c>
      <c r="B526" s="19" t="s">
        <v>472</v>
      </c>
      <c r="C526" s="19">
        <v>1993</v>
      </c>
      <c r="D526" s="19" t="s">
        <v>1712</v>
      </c>
      <c r="E526" s="18">
        <v>33995</v>
      </c>
      <c r="F526" s="18" t="str">
        <f t="shared" si="8"/>
        <v>PEPE1993_Enero</v>
      </c>
      <c r="G526" s="19" t="s">
        <v>1612</v>
      </c>
      <c r="H526" s="21">
        <v>3.0052777777777777</v>
      </c>
      <c r="I526" s="21">
        <v>-78.183611111111105</v>
      </c>
      <c r="J526" s="22">
        <v>31</v>
      </c>
      <c r="K526" s="22">
        <v>28.2</v>
      </c>
      <c r="L526" s="23">
        <v>540.68667207353337</v>
      </c>
      <c r="M526" s="24">
        <v>38</v>
      </c>
      <c r="N526" s="24">
        <v>81</v>
      </c>
      <c r="O526" s="25">
        <v>5.39</v>
      </c>
      <c r="P526" s="25">
        <v>5</v>
      </c>
    </row>
    <row r="527" spans="1:16" s="19" customFormat="1">
      <c r="A527" s="19" t="s">
        <v>536</v>
      </c>
      <c r="B527" s="19" t="s">
        <v>472</v>
      </c>
      <c r="C527" s="19">
        <v>1993</v>
      </c>
      <c r="D527" s="19" t="s">
        <v>1712</v>
      </c>
      <c r="E527" s="18">
        <v>33995</v>
      </c>
      <c r="F527" s="18" t="str">
        <f t="shared" si="8"/>
        <v>PEPE1993_Enero</v>
      </c>
      <c r="G527" s="19" t="s">
        <v>1613</v>
      </c>
      <c r="H527" s="21">
        <v>2.9524999999999997</v>
      </c>
      <c r="I527" s="21">
        <v>-78.213888888888889</v>
      </c>
      <c r="J527" s="22">
        <v>28</v>
      </c>
      <c r="K527" s="22">
        <v>27.3</v>
      </c>
      <c r="L527" s="23">
        <v>743.14909428704129</v>
      </c>
      <c r="M527" s="24">
        <v>28</v>
      </c>
      <c r="N527" s="24">
        <v>81</v>
      </c>
      <c r="O527" s="25">
        <v>0</v>
      </c>
      <c r="P527" s="25">
        <v>2</v>
      </c>
    </row>
    <row r="528" spans="1:16" s="19" customFormat="1">
      <c r="A528" s="19" t="s">
        <v>537</v>
      </c>
      <c r="B528" s="19" t="s">
        <v>472</v>
      </c>
      <c r="C528" s="19">
        <v>1993</v>
      </c>
      <c r="D528" s="19" t="s">
        <v>1712</v>
      </c>
      <c r="E528" s="18">
        <v>33995</v>
      </c>
      <c r="F528" s="18" t="str">
        <f t="shared" si="8"/>
        <v>PEPE1993_Enero</v>
      </c>
      <c r="G528" s="19" t="s">
        <v>1614</v>
      </c>
      <c r="H528" s="21">
        <v>2.9341666666666661</v>
      </c>
      <c r="I528" s="21">
        <v>-78.216944444444451</v>
      </c>
      <c r="J528" s="22">
        <v>32</v>
      </c>
      <c r="K528" s="22">
        <v>27.1</v>
      </c>
      <c r="L528" s="23">
        <v>56.116722783389449</v>
      </c>
      <c r="M528" s="24">
        <v>75</v>
      </c>
      <c r="N528" s="24">
        <v>62</v>
      </c>
      <c r="O528" s="25">
        <v>0</v>
      </c>
      <c r="P528" s="25">
        <v>0</v>
      </c>
    </row>
    <row r="529" spans="1:16">
      <c r="A529" s="1" t="s">
        <v>538</v>
      </c>
      <c r="B529" s="1" t="s">
        <v>539</v>
      </c>
      <c r="C529" s="1">
        <v>1993</v>
      </c>
      <c r="D529" s="1" t="s">
        <v>1713</v>
      </c>
      <c r="E529" s="17">
        <v>34286</v>
      </c>
      <c r="F529" s="18" t="str">
        <f t="shared" si="8"/>
        <v>PEPE1993_Noviembre</v>
      </c>
      <c r="G529" s="1" t="s">
        <v>1341</v>
      </c>
      <c r="H529" s="3">
        <v>6.668333333333333</v>
      </c>
      <c r="I529" s="3">
        <v>-77.452222222222218</v>
      </c>
      <c r="J529" s="12">
        <v>23</v>
      </c>
      <c r="K529" s="12">
        <v>28.7</v>
      </c>
      <c r="L529" s="4">
        <v>123.92</v>
      </c>
      <c r="M529" s="5">
        <v>16</v>
      </c>
      <c r="N529" s="5">
        <v>89</v>
      </c>
      <c r="O529" s="13">
        <v>0</v>
      </c>
      <c r="P529" s="13">
        <v>40.25</v>
      </c>
    </row>
    <row r="530" spans="1:16">
      <c r="A530" s="1" t="s">
        <v>540</v>
      </c>
      <c r="B530" s="1" t="s">
        <v>539</v>
      </c>
      <c r="C530" s="1">
        <v>1993</v>
      </c>
      <c r="D530" s="1" t="s">
        <v>1713</v>
      </c>
      <c r="E530" s="17">
        <v>34286</v>
      </c>
      <c r="F530" s="18" t="str">
        <f t="shared" si="8"/>
        <v>PEPE1993_Noviembre</v>
      </c>
      <c r="G530" s="1" t="s">
        <v>1342</v>
      </c>
      <c r="H530" s="3">
        <v>6.6380555555555558</v>
      </c>
      <c r="I530" s="3">
        <v>-77.500277777777782</v>
      </c>
      <c r="J530" s="12">
        <v>25</v>
      </c>
      <c r="K530" s="12">
        <v>28.7</v>
      </c>
      <c r="L530" s="4">
        <v>91.12</v>
      </c>
      <c r="M530" s="5">
        <v>78</v>
      </c>
      <c r="N530" s="5">
        <v>156</v>
      </c>
      <c r="O530" s="13">
        <v>0</v>
      </c>
      <c r="P530" s="13">
        <v>122.76</v>
      </c>
    </row>
    <row r="531" spans="1:16">
      <c r="A531" s="1" t="s">
        <v>541</v>
      </c>
      <c r="B531" s="1" t="s">
        <v>539</v>
      </c>
      <c r="C531" s="1">
        <v>1993</v>
      </c>
      <c r="D531" s="1" t="s">
        <v>1713</v>
      </c>
      <c r="E531" s="17">
        <v>34286</v>
      </c>
      <c r="F531" s="18" t="str">
        <f t="shared" si="8"/>
        <v>PEPE1993_Noviembre</v>
      </c>
      <c r="G531" s="1" t="s">
        <v>1343</v>
      </c>
      <c r="H531" s="3">
        <v>6.6083333333333334</v>
      </c>
      <c r="I531" s="3">
        <v>-77.558333333333337</v>
      </c>
      <c r="J531" s="12">
        <v>25</v>
      </c>
      <c r="K531" s="12">
        <v>28.4</v>
      </c>
      <c r="L531" s="4">
        <v>43.98</v>
      </c>
      <c r="M531" s="5">
        <v>33</v>
      </c>
      <c r="N531" s="5">
        <v>816</v>
      </c>
      <c r="O531" s="13">
        <v>0</v>
      </c>
      <c r="P531" s="13">
        <v>609.28000000000009</v>
      </c>
    </row>
    <row r="532" spans="1:16">
      <c r="A532" s="1" t="s">
        <v>542</v>
      </c>
      <c r="B532" s="1" t="s">
        <v>539</v>
      </c>
      <c r="C532" s="1">
        <v>1993</v>
      </c>
      <c r="D532" s="1" t="s">
        <v>1713</v>
      </c>
      <c r="E532" s="17">
        <v>34286</v>
      </c>
      <c r="F532" s="18" t="str">
        <f t="shared" si="8"/>
        <v>PEPE1993_Noviembre</v>
      </c>
      <c r="G532" s="1" t="s">
        <v>1493</v>
      </c>
      <c r="H532" s="3">
        <v>6.5016666666666669</v>
      </c>
      <c r="I532" s="3">
        <v>-77.373611111111117</v>
      </c>
      <c r="J532" s="12">
        <v>23</v>
      </c>
      <c r="K532" s="12">
        <v>28.5</v>
      </c>
      <c r="L532" s="4">
        <v>30.64</v>
      </c>
      <c r="M532" s="5">
        <v>0</v>
      </c>
      <c r="N532" s="5">
        <v>36</v>
      </c>
      <c r="O532" s="1">
        <v>0</v>
      </c>
      <c r="P532" s="13">
        <v>9.01</v>
      </c>
    </row>
    <row r="533" spans="1:16">
      <c r="A533" s="1" t="s">
        <v>543</v>
      </c>
      <c r="B533" s="1" t="s">
        <v>539</v>
      </c>
      <c r="C533" s="1">
        <v>1993</v>
      </c>
      <c r="D533" s="1" t="s">
        <v>1713</v>
      </c>
      <c r="E533" s="17">
        <v>34287</v>
      </c>
      <c r="F533" s="18" t="str">
        <f t="shared" si="8"/>
        <v>PEPE1993_Noviembre</v>
      </c>
      <c r="G533" s="1" t="s">
        <v>1346</v>
      </c>
      <c r="H533" s="3">
        <v>6.3</v>
      </c>
      <c r="I533" s="3">
        <v>-77.404166666666669</v>
      </c>
      <c r="J533" s="12">
        <v>20</v>
      </c>
      <c r="K533" s="12">
        <v>27.4</v>
      </c>
      <c r="L533" s="4">
        <v>71.05</v>
      </c>
      <c r="M533" s="5">
        <v>32</v>
      </c>
      <c r="N533" s="5">
        <v>96</v>
      </c>
      <c r="O533" s="13">
        <v>0</v>
      </c>
      <c r="P533" s="13">
        <v>10.69</v>
      </c>
    </row>
    <row r="534" spans="1:16">
      <c r="A534" s="1" t="s">
        <v>544</v>
      </c>
      <c r="B534" s="1" t="s">
        <v>539</v>
      </c>
      <c r="C534" s="1">
        <v>1993</v>
      </c>
      <c r="D534" s="1" t="s">
        <v>1713</v>
      </c>
      <c r="E534" s="17">
        <v>34286</v>
      </c>
      <c r="F534" s="18" t="str">
        <f t="shared" si="8"/>
        <v>PEPE1993_Noviembre</v>
      </c>
      <c r="G534" s="1" t="s">
        <v>1347</v>
      </c>
      <c r="H534" s="3">
        <v>6.3202777777777781</v>
      </c>
      <c r="I534" s="3">
        <v>-77.459166666666661</v>
      </c>
      <c r="J534" s="12">
        <v>24</v>
      </c>
      <c r="K534" s="12">
        <v>28.5</v>
      </c>
      <c r="L534" s="4">
        <v>103.05</v>
      </c>
      <c r="M534" s="5">
        <v>14</v>
      </c>
      <c r="N534" s="5">
        <v>167</v>
      </c>
      <c r="O534" s="13">
        <v>0</v>
      </c>
      <c r="P534" s="13">
        <v>13.91</v>
      </c>
    </row>
    <row r="535" spans="1:16">
      <c r="A535" s="1" t="s">
        <v>545</v>
      </c>
      <c r="B535" s="1" t="s">
        <v>539</v>
      </c>
      <c r="C535" s="1">
        <v>1993</v>
      </c>
      <c r="D535" s="1" t="s">
        <v>1713</v>
      </c>
      <c r="E535" s="17">
        <v>34286</v>
      </c>
      <c r="F535" s="18" t="str">
        <f t="shared" si="8"/>
        <v>PEPE1993_Noviembre</v>
      </c>
      <c r="G535" s="1" t="s">
        <v>1539</v>
      </c>
      <c r="H535" s="3">
        <v>6.3338888888888887</v>
      </c>
      <c r="I535" s="3">
        <v>-77.512500000000003</v>
      </c>
      <c r="J535" s="12">
        <v>24</v>
      </c>
      <c r="K535" s="12">
        <v>28.6</v>
      </c>
      <c r="L535" s="4">
        <v>82.53</v>
      </c>
      <c r="M535" s="5">
        <v>35</v>
      </c>
      <c r="N535" s="5">
        <v>165</v>
      </c>
      <c r="O535" s="13">
        <v>0</v>
      </c>
      <c r="P535" s="13">
        <v>47</v>
      </c>
    </row>
    <row r="536" spans="1:16">
      <c r="A536" s="1" t="s">
        <v>546</v>
      </c>
      <c r="B536" s="1" t="s">
        <v>539</v>
      </c>
      <c r="C536" s="1">
        <v>1993</v>
      </c>
      <c r="D536" s="1" t="s">
        <v>1713</v>
      </c>
      <c r="E536" s="17">
        <v>34287</v>
      </c>
      <c r="F536" s="18" t="str">
        <f t="shared" si="8"/>
        <v>PEPE1993_Noviembre</v>
      </c>
      <c r="G536" s="1" t="s">
        <v>1500</v>
      </c>
      <c r="H536" s="3">
        <v>6.1711111111111112</v>
      </c>
      <c r="I536" s="3">
        <v>-77.487222222222229</v>
      </c>
      <c r="J536" s="12">
        <v>20</v>
      </c>
      <c r="K536" s="12">
        <v>26.4</v>
      </c>
      <c r="L536" s="4">
        <v>75.13</v>
      </c>
      <c r="M536" s="5">
        <v>10</v>
      </c>
      <c r="N536" s="5">
        <v>124</v>
      </c>
      <c r="O536" s="13">
        <v>0</v>
      </c>
      <c r="P536" s="13">
        <v>20.66</v>
      </c>
    </row>
    <row r="537" spans="1:16">
      <c r="A537" s="1" t="s">
        <v>547</v>
      </c>
      <c r="B537" s="1" t="s">
        <v>539</v>
      </c>
      <c r="C537" s="1">
        <v>1993</v>
      </c>
      <c r="D537" s="1" t="s">
        <v>1713</v>
      </c>
      <c r="E537" s="17">
        <v>34287</v>
      </c>
      <c r="F537" s="18" t="str">
        <f t="shared" si="8"/>
        <v>PEPE1993_Noviembre</v>
      </c>
      <c r="G537" s="1" t="s">
        <v>1615</v>
      </c>
      <c r="H537" s="3">
        <v>6.0011111111111113</v>
      </c>
      <c r="I537" s="3">
        <v>-77.352777777777774</v>
      </c>
      <c r="J537" s="12">
        <v>25</v>
      </c>
      <c r="K537" s="12">
        <v>27.3</v>
      </c>
      <c r="L537" s="4">
        <v>157.91999999999999</v>
      </c>
      <c r="M537" s="5">
        <v>0</v>
      </c>
      <c r="N537" s="5">
        <v>158</v>
      </c>
      <c r="O537" s="1">
        <v>0</v>
      </c>
      <c r="P537" s="13">
        <v>74.239999999999995</v>
      </c>
    </row>
    <row r="538" spans="1:16">
      <c r="A538" s="1" t="s">
        <v>548</v>
      </c>
      <c r="B538" s="1" t="s">
        <v>539</v>
      </c>
      <c r="C538" s="1">
        <v>1993</v>
      </c>
      <c r="D538" s="1" t="s">
        <v>1713</v>
      </c>
      <c r="E538" s="17">
        <v>34287</v>
      </c>
      <c r="F538" s="18" t="str">
        <f t="shared" si="8"/>
        <v>PEPE1993_Noviembre</v>
      </c>
      <c r="G538" s="1" t="s">
        <v>1540</v>
      </c>
      <c r="H538" s="3">
        <v>6.0055555555555555</v>
      </c>
      <c r="I538" s="3">
        <v>-77.387222222222221</v>
      </c>
      <c r="J538" s="12">
        <v>23</v>
      </c>
      <c r="K538" s="12">
        <v>26.3</v>
      </c>
      <c r="L538" s="4">
        <v>79.2</v>
      </c>
      <c r="M538" s="5">
        <v>9</v>
      </c>
      <c r="N538" s="5">
        <v>128</v>
      </c>
      <c r="O538" s="13">
        <v>0</v>
      </c>
      <c r="P538" s="13">
        <v>59.709999999999994</v>
      </c>
    </row>
    <row r="539" spans="1:16">
      <c r="A539" s="1" t="s">
        <v>549</v>
      </c>
      <c r="B539" s="1" t="s">
        <v>539</v>
      </c>
      <c r="C539" s="1">
        <v>1993</v>
      </c>
      <c r="D539" s="1" t="s">
        <v>1713</v>
      </c>
      <c r="E539" s="17">
        <v>34287</v>
      </c>
      <c r="F539" s="18" t="str">
        <f t="shared" si="8"/>
        <v>PEPE1993_Noviembre</v>
      </c>
      <c r="G539" s="1" t="s">
        <v>1352</v>
      </c>
      <c r="H539" s="3">
        <v>6.0002777777777778</v>
      </c>
      <c r="I539" s="3">
        <v>-77.459166666666661</v>
      </c>
      <c r="J539" s="12">
        <v>25</v>
      </c>
      <c r="K539" s="12">
        <v>26.7</v>
      </c>
      <c r="L539" s="4">
        <v>99.19</v>
      </c>
      <c r="M539" s="5">
        <v>0</v>
      </c>
      <c r="N539" s="5">
        <v>144</v>
      </c>
      <c r="O539" s="1">
        <v>0</v>
      </c>
      <c r="P539" s="13">
        <v>26.24</v>
      </c>
    </row>
    <row r="540" spans="1:16">
      <c r="A540" s="1" t="s">
        <v>550</v>
      </c>
      <c r="B540" s="1" t="s">
        <v>539</v>
      </c>
      <c r="C540" s="1">
        <v>1993</v>
      </c>
      <c r="D540" s="1" t="s">
        <v>1713</v>
      </c>
      <c r="E540" s="17">
        <v>34287</v>
      </c>
      <c r="F540" s="18" t="str">
        <f t="shared" si="8"/>
        <v>PEPE1993_Noviembre</v>
      </c>
      <c r="G540" s="1" t="s">
        <v>1541</v>
      </c>
      <c r="H540" s="3">
        <v>6</v>
      </c>
      <c r="I540" s="3">
        <v>-77.55</v>
      </c>
      <c r="J540" s="12">
        <v>25</v>
      </c>
      <c r="K540" s="12">
        <v>27</v>
      </c>
      <c r="L540" s="4">
        <v>65.599999999999994</v>
      </c>
      <c r="M540" s="5">
        <v>10</v>
      </c>
      <c r="N540" s="5">
        <v>145</v>
      </c>
      <c r="O540" s="13">
        <v>0</v>
      </c>
      <c r="P540" s="13">
        <v>10.33</v>
      </c>
    </row>
    <row r="541" spans="1:16">
      <c r="A541" s="1" t="s">
        <v>551</v>
      </c>
      <c r="B541" s="1" t="s">
        <v>539</v>
      </c>
      <c r="C541" s="1">
        <v>1993</v>
      </c>
      <c r="D541" s="1" t="s">
        <v>1713</v>
      </c>
      <c r="E541" s="17">
        <v>34288</v>
      </c>
      <c r="F541" s="18" t="str">
        <f t="shared" si="8"/>
        <v>PEPE1993_Noviembre</v>
      </c>
      <c r="G541" s="1" t="s">
        <v>1356</v>
      </c>
      <c r="H541" s="3">
        <v>5.833333333333333</v>
      </c>
      <c r="I541" s="3">
        <v>-77.308888888888887</v>
      </c>
      <c r="J541" s="12">
        <v>25</v>
      </c>
      <c r="K541" s="12">
        <v>27.9</v>
      </c>
      <c r="L541" s="4">
        <v>106.27</v>
      </c>
      <c r="M541" s="5">
        <v>45</v>
      </c>
      <c r="N541" s="5">
        <v>291</v>
      </c>
      <c r="O541" s="13">
        <v>0</v>
      </c>
      <c r="P541" s="13">
        <v>99.99</v>
      </c>
    </row>
    <row r="542" spans="1:16">
      <c r="A542" s="1" t="s">
        <v>552</v>
      </c>
      <c r="B542" s="1" t="s">
        <v>539</v>
      </c>
      <c r="C542" s="1">
        <v>1993</v>
      </c>
      <c r="D542" s="1" t="s">
        <v>1713</v>
      </c>
      <c r="E542" s="17">
        <v>34288</v>
      </c>
      <c r="F542" s="18" t="str">
        <f t="shared" si="8"/>
        <v>PEPE1993_Noviembre</v>
      </c>
      <c r="G542" s="1" t="s">
        <v>1504</v>
      </c>
      <c r="H542" s="3">
        <v>5.6705555555555556</v>
      </c>
      <c r="I542" s="3">
        <v>-77.337777777777774</v>
      </c>
      <c r="J542" s="12">
        <v>24</v>
      </c>
      <c r="K542" s="12">
        <v>28.7</v>
      </c>
      <c r="L542" s="4">
        <v>92.8</v>
      </c>
      <c r="M542" s="5">
        <v>446</v>
      </c>
      <c r="N542" s="5">
        <v>76</v>
      </c>
      <c r="O542" s="13">
        <v>81.12</v>
      </c>
      <c r="P542" s="13">
        <v>0</v>
      </c>
    </row>
    <row r="543" spans="1:16">
      <c r="A543" s="1" t="s">
        <v>553</v>
      </c>
      <c r="B543" s="1" t="s">
        <v>539</v>
      </c>
      <c r="C543" s="1">
        <v>1993</v>
      </c>
      <c r="D543" s="1" t="s">
        <v>1713</v>
      </c>
      <c r="E543" s="17">
        <v>34288</v>
      </c>
      <c r="F543" s="18" t="str">
        <f t="shared" si="8"/>
        <v>PEPE1993_Noviembre</v>
      </c>
      <c r="G543" s="1" t="s">
        <v>1505</v>
      </c>
      <c r="H543" s="3">
        <v>5.6772222222222224</v>
      </c>
      <c r="I543" s="3">
        <v>-77.431111111111107</v>
      </c>
      <c r="J543" s="12">
        <v>25</v>
      </c>
      <c r="K543" s="12">
        <v>28.2</v>
      </c>
      <c r="L543" s="4">
        <v>53.79</v>
      </c>
      <c r="M543" s="5">
        <v>13</v>
      </c>
      <c r="N543" s="5">
        <v>45</v>
      </c>
      <c r="O543" s="13">
        <v>5.24</v>
      </c>
      <c r="P543" s="13">
        <v>2.62</v>
      </c>
    </row>
    <row r="544" spans="1:16">
      <c r="A544" s="1" t="s">
        <v>554</v>
      </c>
      <c r="B544" s="1" t="s">
        <v>539</v>
      </c>
      <c r="C544" s="1">
        <v>1993</v>
      </c>
      <c r="D544" s="1" t="s">
        <v>1713</v>
      </c>
      <c r="E544" s="17">
        <v>34288</v>
      </c>
      <c r="F544" s="18" t="str">
        <f t="shared" si="8"/>
        <v>PEPE1993_Noviembre</v>
      </c>
      <c r="G544" s="1" t="s">
        <v>1361</v>
      </c>
      <c r="H544" s="3">
        <v>5.503333333333333</v>
      </c>
      <c r="I544" s="3">
        <v>-77.556111111111107</v>
      </c>
      <c r="J544" s="12">
        <v>25</v>
      </c>
      <c r="K544" s="12">
        <v>27.8</v>
      </c>
      <c r="L544" s="4">
        <v>112.16</v>
      </c>
      <c r="M544" s="5">
        <v>66</v>
      </c>
      <c r="N544" s="5">
        <v>560</v>
      </c>
      <c r="O544" s="13">
        <v>6.59</v>
      </c>
      <c r="P544" s="13">
        <v>46.129999999999995</v>
      </c>
    </row>
    <row r="545" spans="1:16">
      <c r="A545" s="1" t="s">
        <v>555</v>
      </c>
      <c r="B545" s="1" t="s">
        <v>539</v>
      </c>
      <c r="C545" s="1">
        <v>1993</v>
      </c>
      <c r="D545" s="1" t="s">
        <v>1713</v>
      </c>
      <c r="E545" s="17">
        <v>34288</v>
      </c>
      <c r="F545" s="18" t="str">
        <f t="shared" si="8"/>
        <v>PEPE1993_Noviembre</v>
      </c>
      <c r="G545" s="1" t="s">
        <v>1509</v>
      </c>
      <c r="H545" s="3">
        <v>5.5</v>
      </c>
      <c r="I545" s="3">
        <v>-77.63333333333334</v>
      </c>
      <c r="J545" s="12">
        <v>25</v>
      </c>
      <c r="K545" s="12">
        <v>27.5</v>
      </c>
      <c r="L545" s="4">
        <v>111.23</v>
      </c>
      <c r="M545" s="5">
        <v>0</v>
      </c>
      <c r="N545" s="5">
        <v>37</v>
      </c>
      <c r="O545" s="1">
        <v>0</v>
      </c>
      <c r="P545" s="13">
        <v>12.46</v>
      </c>
    </row>
    <row r="546" spans="1:16" s="19" customFormat="1">
      <c r="A546" s="19" t="s">
        <v>556</v>
      </c>
      <c r="B546" s="19" t="s">
        <v>539</v>
      </c>
      <c r="C546" s="19">
        <v>1993</v>
      </c>
      <c r="D546" s="19" t="s">
        <v>1713</v>
      </c>
      <c r="E546" s="18">
        <v>34288</v>
      </c>
      <c r="F546" s="18" t="str">
        <f t="shared" si="8"/>
        <v>PEPE1993_Noviembre</v>
      </c>
      <c r="G546" s="19" t="s">
        <v>1616</v>
      </c>
      <c r="H546" s="21">
        <v>6.4361111111111109</v>
      </c>
      <c r="I546" s="21">
        <v>-77.416666666666671</v>
      </c>
      <c r="J546" s="22">
        <v>26</v>
      </c>
      <c r="K546" s="22">
        <v>28.1</v>
      </c>
      <c r="L546" s="23">
        <v>103.31</v>
      </c>
      <c r="M546" s="24">
        <v>5</v>
      </c>
      <c r="N546" s="24">
        <v>765</v>
      </c>
      <c r="O546" s="25">
        <v>0</v>
      </c>
      <c r="P546" s="25">
        <v>671.42</v>
      </c>
    </row>
    <row r="547" spans="1:16">
      <c r="A547" s="1" t="s">
        <v>557</v>
      </c>
      <c r="B547" s="1" t="s">
        <v>539</v>
      </c>
      <c r="C547" s="1">
        <v>1993</v>
      </c>
      <c r="D547" s="1" t="s">
        <v>1713</v>
      </c>
      <c r="E547" s="17">
        <v>34288</v>
      </c>
      <c r="F547" s="18" t="str">
        <f t="shared" si="8"/>
        <v>PEPE1993_Noviembre</v>
      </c>
      <c r="G547" s="1" t="s">
        <v>1510</v>
      </c>
      <c r="H547" s="3">
        <v>5.333333333333333</v>
      </c>
      <c r="I547" s="3">
        <v>-77.416666666666671</v>
      </c>
      <c r="J547" s="12">
        <v>25</v>
      </c>
      <c r="K547" s="12">
        <v>28</v>
      </c>
      <c r="L547" s="4">
        <v>205</v>
      </c>
      <c r="M547" s="5">
        <v>16</v>
      </c>
      <c r="N547" s="5">
        <v>209</v>
      </c>
      <c r="O547" s="13">
        <v>2.2200000000000002</v>
      </c>
      <c r="P547" s="13">
        <v>108.78000000000002</v>
      </c>
    </row>
    <row r="548" spans="1:16">
      <c r="A548" s="1" t="s">
        <v>558</v>
      </c>
      <c r="B548" s="1" t="s">
        <v>539</v>
      </c>
      <c r="C548" s="1">
        <v>1993</v>
      </c>
      <c r="D548" s="1" t="s">
        <v>1713</v>
      </c>
      <c r="E548" s="17">
        <v>34288</v>
      </c>
      <c r="F548" s="18" t="str">
        <f t="shared" si="8"/>
        <v>PEPE1993_Noviembre</v>
      </c>
      <c r="G548" s="1" t="s">
        <v>1365</v>
      </c>
      <c r="H548" s="3">
        <v>5.333333333333333</v>
      </c>
      <c r="I548" s="3">
        <v>-77.49166666666666</v>
      </c>
      <c r="J548" s="12">
        <v>26</v>
      </c>
      <c r="K548" s="12">
        <v>27.8</v>
      </c>
      <c r="L548" s="4">
        <v>191.77</v>
      </c>
      <c r="M548" s="5">
        <v>327</v>
      </c>
      <c r="N548" s="5">
        <v>127</v>
      </c>
      <c r="O548" s="13">
        <v>126.98</v>
      </c>
      <c r="P548" s="13">
        <v>54.42</v>
      </c>
    </row>
    <row r="549" spans="1:16">
      <c r="A549" s="1" t="s">
        <v>559</v>
      </c>
      <c r="B549" s="1" t="s">
        <v>539</v>
      </c>
      <c r="C549" s="1">
        <v>1993</v>
      </c>
      <c r="D549" s="1" t="s">
        <v>1713</v>
      </c>
      <c r="E549" s="17">
        <v>34288</v>
      </c>
      <c r="F549" s="18" t="str">
        <f t="shared" si="8"/>
        <v>PEPE1993_Noviembre</v>
      </c>
      <c r="G549" s="1" t="s">
        <v>1366</v>
      </c>
      <c r="H549" s="3">
        <v>5.3338888888888887</v>
      </c>
      <c r="I549" s="3">
        <v>-77.573888888888888</v>
      </c>
      <c r="J549" s="12">
        <v>27</v>
      </c>
      <c r="K549" s="12">
        <v>27.6</v>
      </c>
      <c r="L549" s="4">
        <v>89.42</v>
      </c>
      <c r="M549" s="5">
        <v>4</v>
      </c>
      <c r="N549" s="5">
        <v>65</v>
      </c>
      <c r="O549" s="13">
        <v>0</v>
      </c>
      <c r="P549" s="13">
        <v>47.3</v>
      </c>
    </row>
    <row r="550" spans="1:16">
      <c r="A550" s="1" t="s">
        <v>560</v>
      </c>
      <c r="B550" s="1" t="s">
        <v>539</v>
      </c>
      <c r="C550" s="1">
        <v>1993</v>
      </c>
      <c r="D550" s="1" t="s">
        <v>1713</v>
      </c>
      <c r="E550" s="17">
        <v>34289</v>
      </c>
      <c r="F550" s="18" t="str">
        <f t="shared" si="8"/>
        <v>PEPE1993_Noviembre</v>
      </c>
      <c r="G550" s="1" t="s">
        <v>1511</v>
      </c>
      <c r="H550" s="3">
        <v>5.1416666666666666</v>
      </c>
      <c r="I550" s="3">
        <v>-77.400000000000006</v>
      </c>
      <c r="J550" s="12">
        <v>26</v>
      </c>
      <c r="K550" s="12">
        <v>27.8</v>
      </c>
      <c r="L550" s="4">
        <v>75.760000000000005</v>
      </c>
      <c r="M550" s="5">
        <v>438</v>
      </c>
      <c r="N550" s="5">
        <v>47</v>
      </c>
      <c r="O550" s="13">
        <v>55.800000000000004</v>
      </c>
      <c r="P550" s="13">
        <v>38.130000000000003</v>
      </c>
    </row>
    <row r="551" spans="1:16">
      <c r="A551" s="1" t="s">
        <v>561</v>
      </c>
      <c r="B551" s="1" t="s">
        <v>539</v>
      </c>
      <c r="C551" s="1">
        <v>1993</v>
      </c>
      <c r="D551" s="1" t="s">
        <v>1713</v>
      </c>
      <c r="E551" s="17">
        <v>34288</v>
      </c>
      <c r="F551" s="18" t="str">
        <f t="shared" si="8"/>
        <v>PEPE1993_Noviembre</v>
      </c>
      <c r="G551" s="1" t="s">
        <v>1379</v>
      </c>
      <c r="H551" s="3">
        <v>5.1608333333333336</v>
      </c>
      <c r="I551" s="3">
        <v>-77.510000000000005</v>
      </c>
      <c r="J551" s="12">
        <v>26</v>
      </c>
      <c r="K551" s="12">
        <v>27.5</v>
      </c>
      <c r="L551" s="4">
        <v>93.02</v>
      </c>
      <c r="M551" s="5">
        <v>567</v>
      </c>
      <c r="N551" s="5">
        <v>512</v>
      </c>
      <c r="O551" s="13">
        <v>116.25000000000001</v>
      </c>
      <c r="P551" s="13">
        <v>120.9</v>
      </c>
    </row>
    <row r="552" spans="1:16">
      <c r="A552" s="1" t="s">
        <v>562</v>
      </c>
      <c r="B552" s="1" t="s">
        <v>539</v>
      </c>
      <c r="C552" s="1">
        <v>1993</v>
      </c>
      <c r="D552" s="1" t="s">
        <v>1713</v>
      </c>
      <c r="E552" s="17">
        <v>34289</v>
      </c>
      <c r="F552" s="18" t="str">
        <f t="shared" si="8"/>
        <v>PEPE1993_Noviembre</v>
      </c>
      <c r="G552" s="1" t="s">
        <v>1383</v>
      </c>
      <c r="H552" s="3">
        <v>5.0080555555555559</v>
      </c>
      <c r="I552" s="3">
        <v>-77.394722222222228</v>
      </c>
      <c r="J552" s="12">
        <v>24</v>
      </c>
      <c r="K552" s="12">
        <v>27.7</v>
      </c>
      <c r="L552" s="4">
        <v>60.63</v>
      </c>
      <c r="M552" s="5">
        <v>181</v>
      </c>
      <c r="N552" s="5">
        <v>10</v>
      </c>
      <c r="O552" s="13">
        <v>27.369999999999997</v>
      </c>
      <c r="P552" s="13">
        <v>7.14</v>
      </c>
    </row>
    <row r="553" spans="1:16">
      <c r="A553" s="1" t="s">
        <v>563</v>
      </c>
      <c r="B553" s="1" t="s">
        <v>539</v>
      </c>
      <c r="C553" s="1">
        <v>1993</v>
      </c>
      <c r="D553" s="1" t="s">
        <v>1713</v>
      </c>
      <c r="E553" s="17">
        <v>34289</v>
      </c>
      <c r="F553" s="18" t="str">
        <f t="shared" si="8"/>
        <v>PEPE1993_Noviembre</v>
      </c>
      <c r="G553" s="1" t="s">
        <v>1384</v>
      </c>
      <c r="H553" s="3">
        <v>5.01</v>
      </c>
      <c r="I553" s="3">
        <v>-77.466944444444451</v>
      </c>
      <c r="J553" s="12">
        <v>23</v>
      </c>
      <c r="K553" s="12">
        <v>27.4</v>
      </c>
      <c r="L553" s="4">
        <v>97.74</v>
      </c>
      <c r="M553" s="5">
        <v>289</v>
      </c>
      <c r="N553" s="5">
        <v>100</v>
      </c>
      <c r="O553" s="13">
        <v>75.36</v>
      </c>
      <c r="P553" s="13">
        <v>56.52</v>
      </c>
    </row>
    <row r="554" spans="1:16">
      <c r="A554" s="1" t="s">
        <v>564</v>
      </c>
      <c r="B554" s="1" t="s">
        <v>539</v>
      </c>
      <c r="C554" s="1">
        <v>1993</v>
      </c>
      <c r="D554" s="1" t="s">
        <v>1713</v>
      </c>
      <c r="E554" s="17">
        <v>34289</v>
      </c>
      <c r="F554" s="18" t="str">
        <f t="shared" si="8"/>
        <v>PEPE1993_Noviembre</v>
      </c>
      <c r="G554" s="1" t="s">
        <v>1388</v>
      </c>
      <c r="H554" s="3">
        <v>4.8436111111111106</v>
      </c>
      <c r="I554" s="3">
        <v>-77.371111111111105</v>
      </c>
      <c r="J554" s="12">
        <v>26</v>
      </c>
      <c r="K554" s="12">
        <v>28.1</v>
      </c>
      <c r="L554" s="4">
        <v>69.040000000000006</v>
      </c>
      <c r="M554" s="5">
        <v>364</v>
      </c>
      <c r="N554" s="5">
        <v>111</v>
      </c>
      <c r="O554" s="13">
        <v>243.6</v>
      </c>
      <c r="P554" s="13">
        <v>18.559999999999999</v>
      </c>
    </row>
    <row r="555" spans="1:16">
      <c r="A555" s="1" t="s">
        <v>565</v>
      </c>
      <c r="B555" s="1" t="s">
        <v>539</v>
      </c>
      <c r="C555" s="1">
        <v>1993</v>
      </c>
      <c r="D555" s="1" t="s">
        <v>1713</v>
      </c>
      <c r="E555" s="17">
        <v>34289</v>
      </c>
      <c r="F555" s="18" t="str">
        <f t="shared" si="8"/>
        <v>PEPE1993_Noviembre</v>
      </c>
      <c r="G555" s="1" t="s">
        <v>1389</v>
      </c>
      <c r="H555" s="3">
        <v>4.8430555555555559</v>
      </c>
      <c r="I555" s="3">
        <v>-77.451388888888886</v>
      </c>
      <c r="J555" s="12">
        <v>26</v>
      </c>
      <c r="K555" s="12">
        <v>27.5</v>
      </c>
      <c r="L555" s="4">
        <v>82.94</v>
      </c>
      <c r="M555" s="5">
        <v>348</v>
      </c>
      <c r="N555" s="5">
        <v>580</v>
      </c>
      <c r="O555" s="13">
        <v>88.32</v>
      </c>
      <c r="P555" s="13">
        <v>419.52</v>
      </c>
    </row>
    <row r="556" spans="1:16">
      <c r="A556" s="1" t="s">
        <v>566</v>
      </c>
      <c r="B556" s="1" t="s">
        <v>539</v>
      </c>
      <c r="C556" s="1">
        <v>1993</v>
      </c>
      <c r="D556" s="1" t="s">
        <v>1713</v>
      </c>
      <c r="E556" s="17">
        <v>34289</v>
      </c>
      <c r="F556" s="18" t="str">
        <f t="shared" si="8"/>
        <v>PEPE1993_Noviembre</v>
      </c>
      <c r="G556" s="1" t="s">
        <v>1548</v>
      </c>
      <c r="H556" s="3">
        <v>4.6749999999999998</v>
      </c>
      <c r="I556" s="3">
        <v>-77.355555555555554</v>
      </c>
      <c r="J556" s="12">
        <v>24</v>
      </c>
      <c r="K556" s="12">
        <v>27.8</v>
      </c>
      <c r="L556" s="4">
        <v>226.24</v>
      </c>
      <c r="M556" s="5">
        <v>601</v>
      </c>
      <c r="N556" s="5">
        <v>52</v>
      </c>
      <c r="O556" s="13">
        <v>532.98</v>
      </c>
      <c r="P556" s="13">
        <v>23.5</v>
      </c>
    </row>
    <row r="557" spans="1:16">
      <c r="A557" s="1" t="s">
        <v>567</v>
      </c>
      <c r="B557" s="1" t="s">
        <v>539</v>
      </c>
      <c r="C557" s="1">
        <v>1993</v>
      </c>
      <c r="D557" s="1" t="s">
        <v>1713</v>
      </c>
      <c r="E557" s="17">
        <v>34289</v>
      </c>
      <c r="F557" s="18" t="str">
        <f t="shared" si="8"/>
        <v>PEPE1993_Noviembre</v>
      </c>
      <c r="G557" s="1" t="s">
        <v>1617</v>
      </c>
      <c r="H557" s="3">
        <v>4.677777777777778</v>
      </c>
      <c r="I557" s="3">
        <v>-77.419166666666669</v>
      </c>
      <c r="J557" s="12">
        <v>25</v>
      </c>
      <c r="K557" s="12">
        <v>27.3</v>
      </c>
      <c r="L557" s="4">
        <v>108.78</v>
      </c>
      <c r="M557" s="5">
        <v>16</v>
      </c>
      <c r="N557" s="5">
        <v>180</v>
      </c>
      <c r="O557" s="13">
        <v>4.08</v>
      </c>
      <c r="P557" s="13">
        <v>61.2</v>
      </c>
    </row>
    <row r="558" spans="1:16">
      <c r="A558" s="1" t="s">
        <v>568</v>
      </c>
      <c r="B558" s="1" t="s">
        <v>539</v>
      </c>
      <c r="C558" s="1">
        <v>1993</v>
      </c>
      <c r="D558" s="1" t="s">
        <v>1713</v>
      </c>
      <c r="E558" s="17">
        <v>34289</v>
      </c>
      <c r="F558" s="18" t="str">
        <f t="shared" si="8"/>
        <v>PEPE1993_Noviembre</v>
      </c>
      <c r="G558" s="1" t="s">
        <v>1584</v>
      </c>
      <c r="H558" s="3">
        <v>4.5002777777777778</v>
      </c>
      <c r="I558" s="3">
        <v>-77.361944444444447</v>
      </c>
      <c r="J558" s="12">
        <v>22</v>
      </c>
      <c r="K558" s="12">
        <v>27</v>
      </c>
      <c r="L558" s="4">
        <v>258.11</v>
      </c>
      <c r="M558" s="5">
        <v>830</v>
      </c>
      <c r="N558" s="5">
        <v>23</v>
      </c>
      <c r="O558" s="13">
        <v>711</v>
      </c>
      <c r="P558" s="13">
        <v>22.5</v>
      </c>
    </row>
    <row r="559" spans="1:16">
      <c r="A559" s="1" t="s">
        <v>569</v>
      </c>
      <c r="B559" s="1" t="s">
        <v>539</v>
      </c>
      <c r="C559" s="1">
        <v>1993</v>
      </c>
      <c r="D559" s="1" t="s">
        <v>1713</v>
      </c>
      <c r="E559" s="17">
        <v>34289</v>
      </c>
      <c r="F559" s="18" t="str">
        <f t="shared" si="8"/>
        <v>PEPE1993_Noviembre</v>
      </c>
      <c r="G559" s="1" t="s">
        <v>1585</v>
      </c>
      <c r="H559" s="3">
        <v>4.5105555555555554</v>
      </c>
      <c r="I559" s="3">
        <v>-77.42861111111111</v>
      </c>
      <c r="J559" s="12">
        <v>21</v>
      </c>
      <c r="K559" s="12">
        <v>26.8</v>
      </c>
      <c r="L559" s="4">
        <v>153.30000000000001</v>
      </c>
      <c r="M559" s="5">
        <v>75</v>
      </c>
      <c r="N559" s="5">
        <v>1006</v>
      </c>
      <c r="O559" s="13">
        <v>19.920000000000002</v>
      </c>
      <c r="P559" s="13">
        <v>547.80000000000007</v>
      </c>
    </row>
    <row r="560" spans="1:16">
      <c r="A560" s="1" t="s">
        <v>570</v>
      </c>
      <c r="B560" s="1" t="s">
        <v>539</v>
      </c>
      <c r="C560" s="1">
        <v>1993</v>
      </c>
      <c r="D560" s="1" t="s">
        <v>1713</v>
      </c>
      <c r="E560" s="17">
        <v>34289</v>
      </c>
      <c r="F560" s="18" t="str">
        <f t="shared" si="8"/>
        <v>PEPE1993_Noviembre</v>
      </c>
      <c r="G560" s="1" t="s">
        <v>1586</v>
      </c>
      <c r="H560" s="3">
        <v>4.509722222222222</v>
      </c>
      <c r="I560" s="3">
        <v>-77.51166666666667</v>
      </c>
      <c r="J560" s="12">
        <v>26</v>
      </c>
      <c r="K560" s="12">
        <v>27</v>
      </c>
      <c r="L560" s="4">
        <v>151.29</v>
      </c>
      <c r="M560" s="5">
        <v>6</v>
      </c>
      <c r="N560" s="5">
        <v>576</v>
      </c>
      <c r="O560" s="13">
        <v>0</v>
      </c>
      <c r="P560" s="13">
        <v>226.98000000000002</v>
      </c>
    </row>
    <row r="561" spans="1:16">
      <c r="A561" s="1" t="s">
        <v>571</v>
      </c>
      <c r="B561" s="1" t="s">
        <v>539</v>
      </c>
      <c r="C561" s="1">
        <v>1993</v>
      </c>
      <c r="D561" s="1" t="s">
        <v>1713</v>
      </c>
      <c r="E561" s="17">
        <v>34290</v>
      </c>
      <c r="F561" s="18" t="str">
        <f t="shared" si="8"/>
        <v>PEPE1993_Noviembre</v>
      </c>
      <c r="G561" s="1" t="s">
        <v>1587</v>
      </c>
      <c r="H561" s="3">
        <v>4.2566666666666668</v>
      </c>
      <c r="I561" s="3">
        <v>-77.478055555555557</v>
      </c>
      <c r="J561" s="12">
        <v>10</v>
      </c>
      <c r="K561" s="12">
        <v>24</v>
      </c>
      <c r="L561" s="4">
        <v>1523.36</v>
      </c>
      <c r="M561" s="5">
        <v>1047</v>
      </c>
      <c r="N561" s="5">
        <v>11</v>
      </c>
      <c r="O561" s="13">
        <v>0</v>
      </c>
      <c r="P561" s="13">
        <v>2.04</v>
      </c>
    </row>
    <row r="562" spans="1:16">
      <c r="A562" s="1" t="s">
        <v>572</v>
      </c>
      <c r="B562" s="1" t="s">
        <v>539</v>
      </c>
      <c r="C562" s="1">
        <v>1993</v>
      </c>
      <c r="D562" s="1" t="s">
        <v>1713</v>
      </c>
      <c r="E562" s="17">
        <v>34290</v>
      </c>
      <c r="F562" s="18" t="str">
        <f t="shared" si="8"/>
        <v>PEPE1993_Noviembre</v>
      </c>
      <c r="G562" s="1" t="s">
        <v>1618</v>
      </c>
      <c r="H562" s="3">
        <v>4.2530555555555551</v>
      </c>
      <c r="I562" s="3">
        <v>-77.512222222222221</v>
      </c>
      <c r="J562" s="12">
        <v>16</v>
      </c>
      <c r="K562" s="12">
        <v>25.4</v>
      </c>
      <c r="L562" s="4">
        <v>2135.33</v>
      </c>
      <c r="M562" s="5">
        <v>212</v>
      </c>
      <c r="N562" s="5">
        <v>5</v>
      </c>
      <c r="O562" s="13">
        <v>1.82</v>
      </c>
      <c r="P562" s="13">
        <v>1.82</v>
      </c>
    </row>
    <row r="563" spans="1:16">
      <c r="A563" s="1" t="s">
        <v>573</v>
      </c>
      <c r="B563" s="1" t="s">
        <v>539</v>
      </c>
      <c r="C563" s="1">
        <v>1993</v>
      </c>
      <c r="D563" s="1" t="s">
        <v>1713</v>
      </c>
      <c r="E563" s="17">
        <v>34289</v>
      </c>
      <c r="F563" s="18" t="str">
        <f t="shared" si="8"/>
        <v>PEPE1993_Noviembre</v>
      </c>
      <c r="G563" s="1" t="s">
        <v>1619</v>
      </c>
      <c r="H563" s="3">
        <v>4.3336111111111109</v>
      </c>
      <c r="I563" s="3">
        <v>-77.523888888888891</v>
      </c>
      <c r="J563" s="12">
        <v>18</v>
      </c>
      <c r="K563" s="12">
        <v>26.2</v>
      </c>
      <c r="L563" s="4">
        <v>84.45</v>
      </c>
      <c r="M563" s="5">
        <v>950</v>
      </c>
      <c r="N563" s="5">
        <v>562</v>
      </c>
      <c r="O563" s="13">
        <v>0</v>
      </c>
      <c r="P563" s="13">
        <v>257.39999999999998</v>
      </c>
    </row>
    <row r="564" spans="1:16">
      <c r="A564" s="1" t="s">
        <v>574</v>
      </c>
      <c r="B564" s="1" t="s">
        <v>539</v>
      </c>
      <c r="C564" s="1">
        <v>1993</v>
      </c>
      <c r="D564" s="1" t="s">
        <v>1713</v>
      </c>
      <c r="E564" s="17">
        <v>34289</v>
      </c>
      <c r="F564" s="18" t="str">
        <f t="shared" si="8"/>
        <v>PEPE1993_Noviembre</v>
      </c>
      <c r="G564" s="1" t="s">
        <v>1404</v>
      </c>
      <c r="H564" s="3">
        <v>4.3430555555555559</v>
      </c>
      <c r="I564" s="3">
        <v>-77.591666666666669</v>
      </c>
      <c r="J564" s="12">
        <v>25</v>
      </c>
      <c r="K564" s="12">
        <v>26.9</v>
      </c>
      <c r="L564" s="4">
        <v>152.66999999999999</v>
      </c>
      <c r="M564" s="5">
        <v>65</v>
      </c>
      <c r="N564" s="5">
        <v>211</v>
      </c>
      <c r="O564" s="13">
        <v>50.89</v>
      </c>
      <c r="P564" s="13">
        <v>58.16</v>
      </c>
    </row>
    <row r="565" spans="1:16">
      <c r="A565" s="1" t="s">
        <v>575</v>
      </c>
      <c r="B565" s="1" t="s">
        <v>539</v>
      </c>
      <c r="C565" s="1">
        <v>1993</v>
      </c>
      <c r="D565" s="1" t="s">
        <v>1713</v>
      </c>
      <c r="E565" s="17">
        <v>34289</v>
      </c>
      <c r="F565" s="18" t="str">
        <f t="shared" si="8"/>
        <v>PEPE1993_Noviembre</v>
      </c>
      <c r="G565" s="1" t="s">
        <v>1405</v>
      </c>
      <c r="H565" s="3">
        <v>4.3338888888888887</v>
      </c>
      <c r="I565" s="3">
        <v>-77.666666666666671</v>
      </c>
      <c r="J565" s="12">
        <v>22</v>
      </c>
      <c r="K565" s="12">
        <v>26.8</v>
      </c>
      <c r="L565" s="4">
        <v>243.75</v>
      </c>
      <c r="M565" s="5">
        <v>10</v>
      </c>
      <c r="N565" s="5">
        <v>399</v>
      </c>
      <c r="O565" s="13">
        <v>0</v>
      </c>
      <c r="P565" s="13">
        <v>189.44</v>
      </c>
    </row>
    <row r="566" spans="1:16">
      <c r="A566" s="1" t="s">
        <v>576</v>
      </c>
      <c r="B566" s="1" t="s">
        <v>539</v>
      </c>
      <c r="C566" s="1">
        <v>1993</v>
      </c>
      <c r="D566" s="1" t="s">
        <v>1713</v>
      </c>
      <c r="E566" s="17">
        <v>34290</v>
      </c>
      <c r="F566" s="18" t="str">
        <f t="shared" si="8"/>
        <v>PEPE1993_Noviembre</v>
      </c>
      <c r="G566" s="1" t="s">
        <v>1590</v>
      </c>
      <c r="H566" s="3">
        <v>4.1694444444444443</v>
      </c>
      <c r="I566" s="3">
        <v>-77.544444444444451</v>
      </c>
      <c r="J566" s="12">
        <v>21</v>
      </c>
      <c r="K566" s="12">
        <v>27.5</v>
      </c>
      <c r="L566" s="4">
        <v>45.83</v>
      </c>
      <c r="M566" s="5">
        <v>122</v>
      </c>
      <c r="N566" s="5">
        <v>54</v>
      </c>
      <c r="O566" s="13">
        <v>19.11</v>
      </c>
      <c r="P566" s="13">
        <v>49.14</v>
      </c>
    </row>
    <row r="567" spans="1:16">
      <c r="A567" s="1" t="s">
        <v>577</v>
      </c>
      <c r="B567" s="1" t="s">
        <v>539</v>
      </c>
      <c r="C567" s="1">
        <v>1993</v>
      </c>
      <c r="D567" s="1" t="s">
        <v>1713</v>
      </c>
      <c r="E567" s="17">
        <v>34290</v>
      </c>
      <c r="F567" s="18" t="str">
        <f t="shared" si="8"/>
        <v>PEPE1993_Noviembre</v>
      </c>
      <c r="G567" s="1" t="s">
        <v>1409</v>
      </c>
      <c r="H567" s="3">
        <v>4.1672222222222226</v>
      </c>
      <c r="I567" s="3">
        <v>-77.61888888888889</v>
      </c>
      <c r="J567" s="12">
        <v>20</v>
      </c>
      <c r="K567" s="12">
        <v>27.1</v>
      </c>
      <c r="L567" s="4">
        <v>54.63</v>
      </c>
      <c r="M567" s="5">
        <v>158</v>
      </c>
      <c r="N567" s="5">
        <v>285</v>
      </c>
      <c r="O567" s="13">
        <v>138.6</v>
      </c>
      <c r="P567" s="13">
        <v>158.4</v>
      </c>
    </row>
    <row r="568" spans="1:16" s="19" customFormat="1">
      <c r="A568" s="19" t="s">
        <v>578</v>
      </c>
      <c r="B568" s="19" t="s">
        <v>539</v>
      </c>
      <c r="C568" s="19">
        <v>1993</v>
      </c>
      <c r="D568" s="19" t="s">
        <v>1713</v>
      </c>
      <c r="E568" s="18">
        <v>34290</v>
      </c>
      <c r="F568" s="18" t="str">
        <f t="shared" si="8"/>
        <v>PEPE1993_Noviembre</v>
      </c>
      <c r="G568" s="19" t="s">
        <v>1592</v>
      </c>
      <c r="H568" s="21">
        <v>3.9747222222222223</v>
      </c>
      <c r="I568" s="21">
        <v>-77.319722222222225</v>
      </c>
      <c r="J568" s="22">
        <v>25</v>
      </c>
      <c r="K568" s="22">
        <v>27.7</v>
      </c>
      <c r="L568" s="23">
        <v>12761.02</v>
      </c>
      <c r="M568" s="24">
        <v>152</v>
      </c>
      <c r="N568" s="24">
        <v>4</v>
      </c>
      <c r="O568" s="25">
        <v>0.61</v>
      </c>
      <c r="P568" s="25">
        <v>1.22</v>
      </c>
    </row>
    <row r="569" spans="1:16" s="19" customFormat="1">
      <c r="A569" s="19" t="s">
        <v>579</v>
      </c>
      <c r="B569" s="19" t="s">
        <v>539</v>
      </c>
      <c r="C569" s="19">
        <v>1993</v>
      </c>
      <c r="D569" s="19" t="s">
        <v>1713</v>
      </c>
      <c r="E569" s="18">
        <v>34290</v>
      </c>
      <c r="F569" s="18" t="str">
        <f t="shared" si="8"/>
        <v>PEPE1993_Noviembre</v>
      </c>
      <c r="G569" s="19" t="s">
        <v>1620</v>
      </c>
      <c r="H569" s="21">
        <v>3.9919444444444445</v>
      </c>
      <c r="I569" s="21">
        <v>-77.295555555555552</v>
      </c>
      <c r="J569" s="22">
        <v>25</v>
      </c>
      <c r="K569" s="22">
        <v>27.7</v>
      </c>
      <c r="L569" s="23">
        <v>176.43</v>
      </c>
      <c r="M569" s="24">
        <v>28</v>
      </c>
      <c r="N569" s="24">
        <v>122</v>
      </c>
      <c r="O569" s="25">
        <v>0</v>
      </c>
      <c r="P569" s="25">
        <v>8.0400000000000009</v>
      </c>
    </row>
    <row r="570" spans="1:16" s="19" customFormat="1">
      <c r="A570" s="19" t="s">
        <v>580</v>
      </c>
      <c r="B570" s="19" t="s">
        <v>539</v>
      </c>
      <c r="C570" s="19">
        <v>1993</v>
      </c>
      <c r="D570" s="19" t="s">
        <v>1713</v>
      </c>
      <c r="E570" s="18">
        <v>34290</v>
      </c>
      <c r="F570" s="18" t="str">
        <f t="shared" si="8"/>
        <v>PEPE1993_Noviembre</v>
      </c>
      <c r="G570" s="19" t="s">
        <v>1594</v>
      </c>
      <c r="H570" s="21">
        <v>3.9897222222222224</v>
      </c>
      <c r="I570" s="21">
        <v>-77.255277777777778</v>
      </c>
      <c r="J570" s="22">
        <v>20</v>
      </c>
      <c r="K570" s="22">
        <v>28.2</v>
      </c>
      <c r="L570" s="23">
        <v>144.68</v>
      </c>
      <c r="M570" s="24">
        <v>32</v>
      </c>
      <c r="N570" s="24">
        <v>11</v>
      </c>
      <c r="O570" s="25">
        <v>0</v>
      </c>
      <c r="P570" s="25">
        <v>0</v>
      </c>
    </row>
    <row r="571" spans="1:16" s="19" customFormat="1">
      <c r="A571" s="19" t="s">
        <v>581</v>
      </c>
      <c r="B571" s="19" t="s">
        <v>539</v>
      </c>
      <c r="C571" s="19">
        <v>1993</v>
      </c>
      <c r="D571" s="19" t="s">
        <v>1713</v>
      </c>
      <c r="E571" s="18">
        <v>34290</v>
      </c>
      <c r="F571" s="18" t="str">
        <f t="shared" si="8"/>
        <v>PEPE1993_Noviembre</v>
      </c>
      <c r="G571" s="19" t="s">
        <v>1621</v>
      </c>
      <c r="H571" s="21">
        <v>3.973611111111111</v>
      </c>
      <c r="I571" s="21">
        <v>-77.239166666666662</v>
      </c>
      <c r="J571" s="22">
        <v>21</v>
      </c>
      <c r="K571" s="22">
        <v>27.8</v>
      </c>
      <c r="L571" s="23">
        <v>470.75</v>
      </c>
      <c r="M571" s="24">
        <v>17</v>
      </c>
      <c r="N571" s="24">
        <v>105</v>
      </c>
      <c r="O571" s="25">
        <v>1.87</v>
      </c>
      <c r="P571" s="25">
        <v>48.620000000000005</v>
      </c>
    </row>
    <row r="572" spans="1:16" s="19" customFormat="1">
      <c r="A572" s="19" t="s">
        <v>582</v>
      </c>
      <c r="B572" s="19" t="s">
        <v>539</v>
      </c>
      <c r="C572" s="19">
        <v>1993</v>
      </c>
      <c r="D572" s="19" t="s">
        <v>1713</v>
      </c>
      <c r="E572" s="18">
        <v>34297</v>
      </c>
      <c r="F572" s="18" t="str">
        <f t="shared" si="8"/>
        <v>PEPE1993_Noviembre</v>
      </c>
      <c r="G572" s="19" t="s">
        <v>1595</v>
      </c>
      <c r="H572" s="21">
        <v>3.8374999999999999</v>
      </c>
      <c r="I572" s="21">
        <v>-77.150833333333338</v>
      </c>
      <c r="J572" s="22">
        <v>11</v>
      </c>
      <c r="K572" s="22">
        <v>28.5</v>
      </c>
      <c r="L572" s="23">
        <v>168.18</v>
      </c>
      <c r="M572" s="24">
        <v>40</v>
      </c>
      <c r="N572" s="24">
        <v>12</v>
      </c>
      <c r="O572" s="25">
        <v>0</v>
      </c>
      <c r="P572" s="25">
        <v>2.98</v>
      </c>
    </row>
    <row r="573" spans="1:16" s="19" customFormat="1">
      <c r="A573" s="19" t="s">
        <v>583</v>
      </c>
      <c r="B573" s="19" t="s">
        <v>539</v>
      </c>
      <c r="C573" s="19">
        <v>1993</v>
      </c>
      <c r="D573" s="19" t="s">
        <v>1713</v>
      </c>
      <c r="E573" s="18">
        <v>34297</v>
      </c>
      <c r="F573" s="18" t="str">
        <f t="shared" si="8"/>
        <v>PEPE1993_Noviembre</v>
      </c>
      <c r="G573" s="19" t="s">
        <v>1596</v>
      </c>
      <c r="H573" s="21">
        <v>3.8691666666666666</v>
      </c>
      <c r="I573" s="21">
        <v>-77.12166666666667</v>
      </c>
      <c r="J573" s="22">
        <v>11</v>
      </c>
      <c r="K573" s="22">
        <v>28.6</v>
      </c>
      <c r="L573" s="23">
        <v>81.5</v>
      </c>
      <c r="M573" s="24">
        <v>3</v>
      </c>
      <c r="N573" s="24">
        <v>14</v>
      </c>
      <c r="O573" s="25">
        <v>0</v>
      </c>
      <c r="P573" s="25">
        <v>0</v>
      </c>
    </row>
    <row r="574" spans="1:16" s="19" customFormat="1">
      <c r="A574" s="19" t="s">
        <v>584</v>
      </c>
      <c r="B574" s="19" t="s">
        <v>539</v>
      </c>
      <c r="C574" s="19">
        <v>1993</v>
      </c>
      <c r="D574" s="19" t="s">
        <v>1713</v>
      </c>
      <c r="E574" s="18">
        <v>34297</v>
      </c>
      <c r="F574" s="18" t="str">
        <f t="shared" si="8"/>
        <v>PEPE1993_Noviembre</v>
      </c>
      <c r="G574" s="19" t="s">
        <v>1622</v>
      </c>
      <c r="H574" s="21">
        <v>3.9044444444444446</v>
      </c>
      <c r="I574" s="21">
        <v>-77.092777777777783</v>
      </c>
      <c r="J574" s="22">
        <v>6</v>
      </c>
      <c r="K574" s="22">
        <v>28.8</v>
      </c>
      <c r="L574" s="23">
        <v>34.99</v>
      </c>
      <c r="M574" s="24">
        <v>8</v>
      </c>
      <c r="N574" s="24">
        <v>11</v>
      </c>
      <c r="O574" s="25">
        <v>2.11</v>
      </c>
      <c r="P574" s="25">
        <v>0</v>
      </c>
    </row>
    <row r="575" spans="1:16" s="19" customFormat="1">
      <c r="A575" s="19" t="s">
        <v>585</v>
      </c>
      <c r="B575" s="19" t="s">
        <v>539</v>
      </c>
      <c r="C575" s="19">
        <v>1993</v>
      </c>
      <c r="D575" s="19" t="s">
        <v>1713</v>
      </c>
      <c r="E575" s="18">
        <v>34297</v>
      </c>
      <c r="F575" s="18" t="str">
        <f t="shared" si="8"/>
        <v>PEPE1993_Noviembre</v>
      </c>
      <c r="G575" s="19" t="s">
        <v>1597</v>
      </c>
      <c r="H575" s="21">
        <v>3.9233333333333333</v>
      </c>
      <c r="I575" s="21">
        <v>-77.114166666666662</v>
      </c>
      <c r="J575" s="22">
        <v>10</v>
      </c>
      <c r="K575" s="22">
        <v>27.9</v>
      </c>
      <c r="L575" s="23">
        <v>188.89</v>
      </c>
      <c r="M575" s="24">
        <v>3</v>
      </c>
      <c r="N575" s="24">
        <v>6</v>
      </c>
      <c r="O575" s="25">
        <v>0</v>
      </c>
      <c r="P575" s="25">
        <v>0</v>
      </c>
    </row>
    <row r="576" spans="1:16">
      <c r="A576" s="1" t="s">
        <v>586</v>
      </c>
      <c r="B576" s="1" t="s">
        <v>539</v>
      </c>
      <c r="C576" s="1">
        <v>1993</v>
      </c>
      <c r="D576" s="1" t="s">
        <v>1713</v>
      </c>
      <c r="E576" s="17">
        <v>34290</v>
      </c>
      <c r="F576" s="18" t="str">
        <f t="shared" si="8"/>
        <v>PEPE1993_Noviembre</v>
      </c>
      <c r="G576" s="1" t="s">
        <v>1417</v>
      </c>
      <c r="H576" s="3" t="e">
        <v>#VALUE!</v>
      </c>
      <c r="I576" s="3">
        <v>-77.272777777777776</v>
      </c>
      <c r="J576" s="12">
        <v>22</v>
      </c>
      <c r="K576" s="12">
        <v>27.8</v>
      </c>
      <c r="L576" s="4">
        <v>396.35</v>
      </c>
      <c r="M576" s="5">
        <v>144</v>
      </c>
      <c r="N576" s="5">
        <v>38</v>
      </c>
      <c r="O576" s="13">
        <v>0</v>
      </c>
      <c r="P576" s="13">
        <v>25.48</v>
      </c>
    </row>
    <row r="577" spans="1:16">
      <c r="A577" s="1" t="s">
        <v>587</v>
      </c>
      <c r="B577" s="1" t="s">
        <v>539</v>
      </c>
      <c r="C577" s="1">
        <v>1993</v>
      </c>
      <c r="D577" s="1" t="s">
        <v>1713</v>
      </c>
      <c r="E577" s="17">
        <v>34290</v>
      </c>
      <c r="F577" s="18" t="str">
        <f t="shared" si="8"/>
        <v>PEPE1993_Noviembre</v>
      </c>
      <c r="G577" s="1" t="s">
        <v>1418</v>
      </c>
      <c r="H577" s="3">
        <v>3.8333333333333335</v>
      </c>
      <c r="I577" s="3">
        <v>-77.38333333333334</v>
      </c>
      <c r="J577" s="12">
        <v>24</v>
      </c>
      <c r="K577" s="12">
        <v>27.3</v>
      </c>
      <c r="L577" s="4">
        <v>114.35</v>
      </c>
      <c r="M577" s="5">
        <v>665</v>
      </c>
      <c r="N577" s="5">
        <v>3125</v>
      </c>
      <c r="O577" s="13">
        <v>303.16000000000003</v>
      </c>
      <c r="P577" s="13">
        <v>93.28</v>
      </c>
    </row>
    <row r="578" spans="1:16">
      <c r="A578" s="1" t="s">
        <v>588</v>
      </c>
      <c r="B578" s="1" t="s">
        <v>539</v>
      </c>
      <c r="C578" s="1">
        <v>1993</v>
      </c>
      <c r="D578" s="1" t="s">
        <v>1713</v>
      </c>
      <c r="E578" s="17">
        <v>34291</v>
      </c>
      <c r="F578" s="18" t="str">
        <f t="shared" si="8"/>
        <v>PEPE1993_Noviembre</v>
      </c>
      <c r="G578" s="1" t="s">
        <v>1598</v>
      </c>
      <c r="H578" s="3">
        <v>3.6666666666666665</v>
      </c>
      <c r="I578" s="3">
        <v>-77.193333333333328</v>
      </c>
      <c r="J578" s="12">
        <v>15</v>
      </c>
      <c r="K578" s="12">
        <v>27.6</v>
      </c>
      <c r="L578" s="4">
        <v>729.61</v>
      </c>
      <c r="M578" s="5">
        <v>865</v>
      </c>
      <c r="N578" s="5">
        <v>174</v>
      </c>
      <c r="O578" s="13">
        <v>0</v>
      </c>
      <c r="P578" s="13">
        <v>94</v>
      </c>
    </row>
    <row r="579" spans="1:16">
      <c r="A579" s="1" t="s">
        <v>589</v>
      </c>
      <c r="B579" s="1" t="s">
        <v>539</v>
      </c>
      <c r="C579" s="1">
        <v>1993</v>
      </c>
      <c r="D579" s="1" t="s">
        <v>1713</v>
      </c>
      <c r="E579" s="17">
        <v>34291</v>
      </c>
      <c r="F579" s="18" t="str">
        <f t="shared" ref="F579:F642" si="9">"PEPE"&amp;C579&amp;"_"&amp;D579</f>
        <v>PEPE1993_Noviembre</v>
      </c>
      <c r="G579" s="1" t="s">
        <v>1423</v>
      </c>
      <c r="H579" s="3">
        <v>3.6527777777777777</v>
      </c>
      <c r="I579" s="3">
        <v>-77.275555555555556</v>
      </c>
      <c r="J579" s="12">
        <v>18</v>
      </c>
      <c r="K579" s="12">
        <v>28.5</v>
      </c>
      <c r="L579" s="4">
        <v>135.96</v>
      </c>
      <c r="M579" s="5">
        <v>1218</v>
      </c>
      <c r="N579" s="5">
        <v>231</v>
      </c>
      <c r="O579" s="13">
        <v>716.3</v>
      </c>
      <c r="P579" s="13">
        <v>104.69</v>
      </c>
    </row>
    <row r="580" spans="1:16">
      <c r="A580" s="1" t="s">
        <v>590</v>
      </c>
      <c r="B580" s="1" t="s">
        <v>539</v>
      </c>
      <c r="C580" s="1">
        <v>1993</v>
      </c>
      <c r="D580" s="1" t="s">
        <v>1713</v>
      </c>
      <c r="E580" s="17">
        <v>34291</v>
      </c>
      <c r="F580" s="18" t="str">
        <f t="shared" si="9"/>
        <v>PEPE1993_Noviembre</v>
      </c>
      <c r="G580" s="1" t="s">
        <v>1623</v>
      </c>
      <c r="H580" s="3">
        <v>3.6666666666666665</v>
      </c>
      <c r="I580" s="3">
        <v>-77.349999999999994</v>
      </c>
      <c r="J580" s="12">
        <v>20</v>
      </c>
      <c r="K580" s="12">
        <v>27.7</v>
      </c>
      <c r="L580" s="4">
        <v>148.31</v>
      </c>
      <c r="M580" s="5">
        <v>1212</v>
      </c>
      <c r="N580" s="5">
        <v>1121</v>
      </c>
      <c r="O580" s="13">
        <v>796.95</v>
      </c>
      <c r="P580" s="13">
        <v>391.23</v>
      </c>
    </row>
    <row r="581" spans="1:16">
      <c r="A581" s="1" t="s">
        <v>591</v>
      </c>
      <c r="B581" s="1" t="s">
        <v>539</v>
      </c>
      <c r="C581" s="1">
        <v>1993</v>
      </c>
      <c r="D581" s="1" t="s">
        <v>1713</v>
      </c>
      <c r="E581" s="17">
        <v>34292</v>
      </c>
      <c r="F581" s="18" t="str">
        <f t="shared" si="9"/>
        <v>PEPE1993_Noviembre</v>
      </c>
      <c r="G581" s="1" t="s">
        <v>1599</v>
      </c>
      <c r="H581" s="3">
        <v>3.5188888888888887</v>
      </c>
      <c r="I581" s="3">
        <v>-77.310555555555553</v>
      </c>
      <c r="J581" s="12">
        <v>7</v>
      </c>
      <c r="K581" s="12">
        <v>25.4</v>
      </c>
      <c r="L581" s="4">
        <v>863.31</v>
      </c>
      <c r="M581" s="5">
        <v>903</v>
      </c>
      <c r="N581" s="5">
        <v>27</v>
      </c>
      <c r="O581" s="13">
        <v>40.11</v>
      </c>
      <c r="P581" s="13">
        <v>3.82</v>
      </c>
    </row>
    <row r="582" spans="1:16">
      <c r="A582" s="1" t="s">
        <v>592</v>
      </c>
      <c r="B582" s="1" t="s">
        <v>539</v>
      </c>
      <c r="C582" s="1">
        <v>1993</v>
      </c>
      <c r="D582" s="1" t="s">
        <v>1713</v>
      </c>
      <c r="E582" s="17">
        <v>34292</v>
      </c>
      <c r="F582" s="18" t="str">
        <f t="shared" si="9"/>
        <v>PEPE1993_Noviembre</v>
      </c>
      <c r="G582" s="1" t="s">
        <v>1600</v>
      </c>
      <c r="H582" s="3">
        <v>3.472777777777778</v>
      </c>
      <c r="I582" s="3">
        <v>-77.3</v>
      </c>
      <c r="J582" s="12">
        <v>10</v>
      </c>
      <c r="K582" s="12">
        <v>24.2</v>
      </c>
      <c r="L582" s="4">
        <v>71.02</v>
      </c>
      <c r="M582" s="5">
        <v>0</v>
      </c>
      <c r="N582" s="5">
        <v>681</v>
      </c>
      <c r="O582" s="1">
        <v>0</v>
      </c>
      <c r="P582" s="13">
        <v>649.04</v>
      </c>
    </row>
    <row r="583" spans="1:16">
      <c r="A583" s="1" t="s">
        <v>593</v>
      </c>
      <c r="B583" s="1" t="s">
        <v>539</v>
      </c>
      <c r="C583" s="1">
        <v>1993</v>
      </c>
      <c r="D583" s="1" t="s">
        <v>1713</v>
      </c>
      <c r="E583" s="17">
        <v>34291</v>
      </c>
      <c r="F583" s="18" t="str">
        <f t="shared" si="9"/>
        <v>PEPE1993_Noviembre</v>
      </c>
      <c r="G583" s="1" t="s">
        <v>1427</v>
      </c>
      <c r="H583" s="3">
        <v>3.5</v>
      </c>
      <c r="I583" s="3">
        <v>-77.36666666666666</v>
      </c>
      <c r="J583" s="12">
        <v>25</v>
      </c>
      <c r="K583" s="12">
        <v>27.2</v>
      </c>
      <c r="L583" s="4">
        <v>124.22</v>
      </c>
      <c r="M583" s="5">
        <v>59</v>
      </c>
      <c r="N583" s="5">
        <v>25</v>
      </c>
      <c r="O583" s="13">
        <v>2.3199999999999998</v>
      </c>
      <c r="P583" s="13">
        <v>11.889999999999999</v>
      </c>
    </row>
    <row r="584" spans="1:16">
      <c r="A584" s="1" t="s">
        <v>594</v>
      </c>
      <c r="B584" s="1" t="s">
        <v>539</v>
      </c>
      <c r="C584" s="1">
        <v>1993</v>
      </c>
      <c r="D584" s="1" t="s">
        <v>1713</v>
      </c>
      <c r="E584" s="17">
        <v>34291</v>
      </c>
      <c r="F584" s="18" t="str">
        <f t="shared" si="9"/>
        <v>PEPE1993_Noviembre</v>
      </c>
      <c r="G584" s="1" t="s">
        <v>1428</v>
      </c>
      <c r="H584" s="3">
        <v>3.5</v>
      </c>
      <c r="I584" s="3">
        <v>-77.433333333333337</v>
      </c>
      <c r="J584" s="12">
        <v>22</v>
      </c>
      <c r="K584" s="12">
        <v>27.2</v>
      </c>
      <c r="L584" s="4">
        <v>301.85000000000002</v>
      </c>
      <c r="M584" s="5">
        <v>51</v>
      </c>
      <c r="N584" s="5">
        <v>450</v>
      </c>
      <c r="O584" s="13">
        <v>0</v>
      </c>
      <c r="P584" s="13">
        <v>88.759999999999991</v>
      </c>
    </row>
    <row r="585" spans="1:16">
      <c r="A585" s="1" t="s">
        <v>595</v>
      </c>
      <c r="B585" s="1" t="s">
        <v>539</v>
      </c>
      <c r="C585" s="1">
        <v>1993</v>
      </c>
      <c r="D585" s="1" t="s">
        <v>1713</v>
      </c>
      <c r="E585" s="17">
        <v>34292</v>
      </c>
      <c r="F585" s="18" t="str">
        <f t="shared" si="9"/>
        <v>PEPE1993_Noviembre</v>
      </c>
      <c r="G585" s="1" t="s">
        <v>1601</v>
      </c>
      <c r="H585" s="3">
        <v>3.3238888888888889</v>
      </c>
      <c r="I585" s="3">
        <v>-77.50555555555556</v>
      </c>
      <c r="J585" s="12">
        <v>5</v>
      </c>
      <c r="K585" s="12">
        <v>25.1</v>
      </c>
      <c r="L585" s="4">
        <v>4469.2700000000004</v>
      </c>
      <c r="M585" s="5">
        <v>1</v>
      </c>
      <c r="N585" s="5">
        <v>0</v>
      </c>
      <c r="O585" s="13">
        <v>0.88</v>
      </c>
      <c r="P585" s="13">
        <v>0</v>
      </c>
    </row>
    <row r="586" spans="1:16">
      <c r="A586" s="1" t="s">
        <v>596</v>
      </c>
      <c r="B586" s="1" t="s">
        <v>539</v>
      </c>
      <c r="C586" s="1">
        <v>1993</v>
      </c>
      <c r="D586" s="1" t="s">
        <v>1713</v>
      </c>
      <c r="E586" s="17">
        <v>34292</v>
      </c>
      <c r="F586" s="18" t="str">
        <f t="shared" si="9"/>
        <v>PEPE1993_Noviembre</v>
      </c>
      <c r="G586" s="1" t="s">
        <v>1558</v>
      </c>
      <c r="H586" s="3">
        <v>3.3258333333333332</v>
      </c>
      <c r="I586" s="3">
        <v>-77.5</v>
      </c>
      <c r="J586" s="12">
        <v>20</v>
      </c>
      <c r="K586" s="12">
        <v>27</v>
      </c>
      <c r="L586" s="4">
        <v>384.32</v>
      </c>
      <c r="M586" s="5">
        <v>641</v>
      </c>
      <c r="N586" s="5">
        <v>1</v>
      </c>
      <c r="O586" s="13">
        <v>600.03</v>
      </c>
      <c r="P586" s="13">
        <v>0</v>
      </c>
    </row>
    <row r="587" spans="1:16">
      <c r="A587" s="1" t="s">
        <v>597</v>
      </c>
      <c r="B587" s="1" t="s">
        <v>539</v>
      </c>
      <c r="C587" s="1">
        <v>1993</v>
      </c>
      <c r="D587" s="1" t="s">
        <v>1713</v>
      </c>
      <c r="E587" s="17">
        <v>34292</v>
      </c>
      <c r="F587" s="18" t="str">
        <f t="shared" si="9"/>
        <v>PEPE1993_Noviembre</v>
      </c>
      <c r="G587" s="1" t="s">
        <v>1559</v>
      </c>
      <c r="H587" s="3">
        <v>3.3347222222222221</v>
      </c>
      <c r="I587" s="3">
        <v>-77.569722222222225</v>
      </c>
      <c r="J587" s="12">
        <v>23</v>
      </c>
      <c r="K587" s="12">
        <v>27.4</v>
      </c>
      <c r="L587" s="4">
        <v>116.41</v>
      </c>
      <c r="M587" s="5">
        <v>622</v>
      </c>
      <c r="N587" s="5">
        <v>185</v>
      </c>
      <c r="O587" s="13">
        <v>324.28000000000003</v>
      </c>
      <c r="P587" s="13">
        <v>48.24</v>
      </c>
    </row>
    <row r="588" spans="1:16">
      <c r="A588" s="1" t="s">
        <v>598</v>
      </c>
      <c r="B588" s="1" t="s">
        <v>539</v>
      </c>
      <c r="C588" s="1">
        <v>1993</v>
      </c>
      <c r="D588" s="1" t="s">
        <v>1713</v>
      </c>
      <c r="E588" s="17">
        <v>34292</v>
      </c>
      <c r="F588" s="18" t="str">
        <f t="shared" si="9"/>
        <v>PEPE1993_Noviembre</v>
      </c>
      <c r="G588" s="1" t="s">
        <v>1434</v>
      </c>
      <c r="H588" s="3">
        <v>3.3341666666666665</v>
      </c>
      <c r="I588" s="3">
        <v>-77.652777777777771</v>
      </c>
      <c r="J588" s="12">
        <v>20</v>
      </c>
      <c r="K588" s="12">
        <v>26.8</v>
      </c>
      <c r="L588" s="4">
        <v>115.22</v>
      </c>
      <c r="M588" s="5">
        <v>55</v>
      </c>
      <c r="N588" s="5">
        <v>368</v>
      </c>
      <c r="O588" s="13">
        <v>20</v>
      </c>
      <c r="P588" s="13">
        <v>85</v>
      </c>
    </row>
    <row r="589" spans="1:16">
      <c r="A589" s="1" t="s">
        <v>599</v>
      </c>
      <c r="B589" s="1" t="s">
        <v>539</v>
      </c>
      <c r="C589" s="1">
        <v>1993</v>
      </c>
      <c r="D589" s="1" t="s">
        <v>1713</v>
      </c>
      <c r="E589" s="17">
        <v>34292</v>
      </c>
      <c r="F589" s="18" t="str">
        <f t="shared" si="9"/>
        <v>PEPE1993_Noviembre</v>
      </c>
      <c r="G589" s="1" t="s">
        <v>1437</v>
      </c>
      <c r="H589" s="3">
        <v>3.1683333333333334</v>
      </c>
      <c r="I589" s="3">
        <v>-77.591944444444451</v>
      </c>
      <c r="J589" s="12">
        <v>21</v>
      </c>
      <c r="K589" s="12">
        <v>27</v>
      </c>
      <c r="L589" s="4">
        <v>241.94</v>
      </c>
      <c r="M589" s="5">
        <v>252</v>
      </c>
      <c r="N589" s="5">
        <v>63</v>
      </c>
      <c r="O589" s="13">
        <v>127.41</v>
      </c>
      <c r="P589" s="13">
        <v>17.98</v>
      </c>
    </row>
    <row r="590" spans="1:16">
      <c r="A590" s="1" t="s">
        <v>600</v>
      </c>
      <c r="B590" s="1" t="s">
        <v>539</v>
      </c>
      <c r="C590" s="1">
        <v>1993</v>
      </c>
      <c r="D590" s="1" t="s">
        <v>1713</v>
      </c>
      <c r="E590" s="17">
        <v>34292</v>
      </c>
      <c r="F590" s="18" t="str">
        <f t="shared" si="9"/>
        <v>PEPE1993_Noviembre</v>
      </c>
      <c r="G590" s="1" t="s">
        <v>1438</v>
      </c>
      <c r="H590" s="3">
        <v>3.1758333333333333</v>
      </c>
      <c r="I590" s="3">
        <v>-77.665277777777774</v>
      </c>
      <c r="J590" s="12">
        <v>25</v>
      </c>
      <c r="K590" s="12">
        <v>27.3</v>
      </c>
      <c r="L590" s="4">
        <v>80.39</v>
      </c>
      <c r="M590" s="5">
        <v>1402</v>
      </c>
      <c r="N590" s="5">
        <v>186</v>
      </c>
      <c r="O590" s="13">
        <v>1008.9</v>
      </c>
      <c r="P590" s="13">
        <v>90.27</v>
      </c>
    </row>
    <row r="591" spans="1:16">
      <c r="A591" s="1" t="s">
        <v>601</v>
      </c>
      <c r="B591" s="1" t="s">
        <v>539</v>
      </c>
      <c r="C591" s="1">
        <v>1993</v>
      </c>
      <c r="D591" s="1" t="s">
        <v>1713</v>
      </c>
      <c r="E591" s="17">
        <v>34292</v>
      </c>
      <c r="F591" s="18" t="str">
        <f t="shared" si="9"/>
        <v>PEPE1993_Noviembre</v>
      </c>
      <c r="G591" s="1" t="s">
        <v>1439</v>
      </c>
      <c r="H591" s="3">
        <v>3.1775000000000002</v>
      </c>
      <c r="I591" s="3">
        <v>-77.748888888888885</v>
      </c>
      <c r="J591" s="12">
        <v>27</v>
      </c>
      <c r="K591" s="12">
        <v>27.2</v>
      </c>
      <c r="L591" s="4">
        <v>177.48</v>
      </c>
      <c r="M591" s="5">
        <v>4</v>
      </c>
      <c r="N591" s="5">
        <v>160</v>
      </c>
      <c r="O591" s="13">
        <v>0</v>
      </c>
      <c r="P591" s="13">
        <v>42.599999999999994</v>
      </c>
    </row>
    <row r="592" spans="1:16">
      <c r="A592" s="1" t="s">
        <v>602</v>
      </c>
      <c r="B592" s="1" t="s">
        <v>539</v>
      </c>
      <c r="C592" s="1">
        <v>1993</v>
      </c>
      <c r="D592" s="1" t="s">
        <v>1713</v>
      </c>
      <c r="E592" s="17">
        <v>34292</v>
      </c>
      <c r="F592" s="18" t="str">
        <f t="shared" si="9"/>
        <v>PEPE1993_Noviembre</v>
      </c>
      <c r="G592" s="1" t="s">
        <v>1562</v>
      </c>
      <c r="H592" s="3">
        <v>3.0105555555555554</v>
      </c>
      <c r="I592" s="3">
        <v>-77.716111111111104</v>
      </c>
      <c r="J592" s="12">
        <v>26</v>
      </c>
      <c r="K592" s="12">
        <v>27.3</v>
      </c>
      <c r="L592" s="4">
        <v>122.84</v>
      </c>
      <c r="M592" s="5">
        <v>1043</v>
      </c>
      <c r="N592" s="5">
        <v>63</v>
      </c>
      <c r="O592" s="13">
        <v>71.28</v>
      </c>
      <c r="P592" s="13">
        <v>25.74</v>
      </c>
    </row>
    <row r="593" spans="1:16">
      <c r="A593" s="1" t="s">
        <v>603</v>
      </c>
      <c r="B593" s="1" t="s">
        <v>539</v>
      </c>
      <c r="C593" s="1">
        <v>1993</v>
      </c>
      <c r="D593" s="1" t="s">
        <v>1713</v>
      </c>
      <c r="E593" s="17">
        <v>34292</v>
      </c>
      <c r="F593" s="18" t="str">
        <f t="shared" si="9"/>
        <v>PEPE1993_Noviembre</v>
      </c>
      <c r="G593" s="1" t="s">
        <v>1443</v>
      </c>
      <c r="H593" s="3">
        <v>3</v>
      </c>
      <c r="I593" s="3">
        <v>-77.793055555555554</v>
      </c>
      <c r="J593" s="12">
        <v>27</v>
      </c>
      <c r="K593" s="12">
        <v>27.2</v>
      </c>
      <c r="L593" s="4">
        <v>155.13999999999999</v>
      </c>
      <c r="M593" s="5">
        <v>9</v>
      </c>
      <c r="N593" s="5">
        <v>24</v>
      </c>
      <c r="O593" s="13">
        <v>5.94</v>
      </c>
      <c r="P593" s="13">
        <v>7.92</v>
      </c>
    </row>
    <row r="594" spans="1:16" s="19" customFormat="1">
      <c r="A594" s="19" t="s">
        <v>604</v>
      </c>
      <c r="B594" s="19" t="s">
        <v>539</v>
      </c>
      <c r="C594" s="19">
        <v>1993</v>
      </c>
      <c r="D594" s="19" t="s">
        <v>1713</v>
      </c>
      <c r="E594" s="18">
        <v>34293</v>
      </c>
      <c r="F594" s="18" t="str">
        <f t="shared" si="9"/>
        <v>PEPE1993_Noviembre</v>
      </c>
      <c r="G594" s="19" t="s">
        <v>1624</v>
      </c>
      <c r="H594" s="21">
        <v>2.7941666666666665</v>
      </c>
      <c r="I594" s="21">
        <v>-77.758055555555558</v>
      </c>
      <c r="J594" s="22">
        <v>23</v>
      </c>
      <c r="K594" s="22">
        <v>27.8</v>
      </c>
      <c r="L594" s="23">
        <v>461.01</v>
      </c>
      <c r="M594" s="24">
        <v>5</v>
      </c>
      <c r="N594" s="24">
        <v>3</v>
      </c>
      <c r="O594" s="25">
        <v>4.6399999999999997</v>
      </c>
      <c r="P594" s="25">
        <v>2.2400000000000002</v>
      </c>
    </row>
    <row r="595" spans="1:16" s="19" customFormat="1">
      <c r="A595" s="19" t="s">
        <v>605</v>
      </c>
      <c r="B595" s="19" t="s">
        <v>539</v>
      </c>
      <c r="C595" s="19">
        <v>1993</v>
      </c>
      <c r="D595" s="19" t="s">
        <v>1713</v>
      </c>
      <c r="E595" s="18">
        <v>34293</v>
      </c>
      <c r="F595" s="18" t="str">
        <f t="shared" si="9"/>
        <v>PEPE1993_Noviembre</v>
      </c>
      <c r="G595" s="19" t="s">
        <v>1625</v>
      </c>
      <c r="H595" s="21">
        <v>2.776388888888889</v>
      </c>
      <c r="I595" s="21">
        <v>-77.730277777777772</v>
      </c>
      <c r="J595" s="22">
        <v>12</v>
      </c>
      <c r="K595" s="22">
        <v>26</v>
      </c>
      <c r="L595" s="23">
        <v>1004.82</v>
      </c>
      <c r="M595" s="24">
        <v>0</v>
      </c>
      <c r="N595" s="24">
        <v>52</v>
      </c>
      <c r="O595" s="19">
        <v>0</v>
      </c>
      <c r="P595" s="25">
        <v>7.6</v>
      </c>
    </row>
    <row r="596" spans="1:16">
      <c r="A596" s="1" t="s">
        <v>606</v>
      </c>
      <c r="B596" s="1" t="s">
        <v>539</v>
      </c>
      <c r="C596" s="1">
        <v>1993</v>
      </c>
      <c r="D596" s="1" t="s">
        <v>1713</v>
      </c>
      <c r="E596" s="17">
        <v>34293</v>
      </c>
      <c r="F596" s="18" t="str">
        <f t="shared" si="9"/>
        <v>PEPE1993_Noviembre</v>
      </c>
      <c r="G596" s="1" t="s">
        <v>1519</v>
      </c>
      <c r="H596" s="3">
        <v>2.8361111111111112</v>
      </c>
      <c r="I596" s="3">
        <v>-77.753055555555562</v>
      </c>
      <c r="J596" s="12">
        <v>25</v>
      </c>
      <c r="K596" s="12">
        <v>27.3</v>
      </c>
      <c r="L596" s="4">
        <v>312.08</v>
      </c>
      <c r="M596" s="5">
        <v>171</v>
      </c>
      <c r="N596" s="5">
        <v>48</v>
      </c>
      <c r="O596" s="13">
        <v>161.70000000000002</v>
      </c>
      <c r="P596" s="13">
        <v>28.380000000000003</v>
      </c>
    </row>
    <row r="597" spans="1:16">
      <c r="A597" s="1" t="s">
        <v>607</v>
      </c>
      <c r="B597" s="1" t="s">
        <v>539</v>
      </c>
      <c r="C597" s="1">
        <v>1993</v>
      </c>
      <c r="D597" s="1" t="s">
        <v>1713</v>
      </c>
      <c r="E597" s="17">
        <v>34293</v>
      </c>
      <c r="F597" s="18" t="str">
        <f t="shared" si="9"/>
        <v>PEPE1993_Noviembre</v>
      </c>
      <c r="G597" s="1" t="s">
        <v>1447</v>
      </c>
      <c r="H597" s="3">
        <v>2.8436111111111111</v>
      </c>
      <c r="I597" s="3">
        <v>-77.834722222222226</v>
      </c>
      <c r="J597" s="12">
        <v>25</v>
      </c>
      <c r="K597" s="12">
        <v>27.4</v>
      </c>
      <c r="L597" s="4">
        <v>301.2</v>
      </c>
      <c r="M597" s="5">
        <v>1390</v>
      </c>
      <c r="N597" s="5">
        <v>190</v>
      </c>
      <c r="O597" s="13">
        <v>97.44</v>
      </c>
      <c r="P597" s="13">
        <v>99.759999999999991</v>
      </c>
    </row>
    <row r="598" spans="1:16" s="19" customFormat="1">
      <c r="A598" s="19" t="s">
        <v>608</v>
      </c>
      <c r="B598" s="19" t="s">
        <v>539</v>
      </c>
      <c r="C598" s="19">
        <v>1993</v>
      </c>
      <c r="D598" s="19" t="s">
        <v>1713</v>
      </c>
      <c r="E598" s="18">
        <v>34294</v>
      </c>
      <c r="F598" s="18" t="str">
        <f t="shared" si="9"/>
        <v>PEPE1993_Noviembre</v>
      </c>
      <c r="G598" s="19" t="s">
        <v>1626</v>
      </c>
      <c r="H598" s="21">
        <v>2.6969444444444446</v>
      </c>
      <c r="I598" s="21">
        <v>-78.209444444444443</v>
      </c>
      <c r="J598" s="22">
        <v>30</v>
      </c>
      <c r="K598" s="22">
        <v>27.9</v>
      </c>
      <c r="L598" s="23">
        <v>122.9</v>
      </c>
      <c r="M598" s="24">
        <v>47</v>
      </c>
      <c r="N598" s="24">
        <v>70</v>
      </c>
      <c r="O598" s="25">
        <v>12.48</v>
      </c>
      <c r="P598" s="25">
        <v>19.200000000000003</v>
      </c>
    </row>
    <row r="599" spans="1:16" s="19" customFormat="1">
      <c r="A599" s="19" t="s">
        <v>609</v>
      </c>
      <c r="B599" s="19" t="s">
        <v>539</v>
      </c>
      <c r="C599" s="19">
        <v>1993</v>
      </c>
      <c r="D599" s="19" t="s">
        <v>1713</v>
      </c>
      <c r="E599" s="18">
        <v>34297</v>
      </c>
      <c r="F599" s="18" t="str">
        <f t="shared" si="9"/>
        <v>PEPE1993_Noviembre</v>
      </c>
      <c r="G599" s="19" t="s">
        <v>1603</v>
      </c>
      <c r="H599" s="21">
        <v>2.6841666666666666</v>
      </c>
      <c r="I599" s="21">
        <v>-77.958611111111111</v>
      </c>
      <c r="J599" s="22">
        <v>16</v>
      </c>
      <c r="K599" s="22">
        <v>26.9</v>
      </c>
      <c r="L599" s="23">
        <v>333.58</v>
      </c>
      <c r="M599" s="24">
        <v>288</v>
      </c>
      <c r="N599" s="24">
        <v>43</v>
      </c>
      <c r="O599" s="25">
        <v>97.92</v>
      </c>
      <c r="P599" s="25">
        <v>37.119999999999997</v>
      </c>
    </row>
    <row r="600" spans="1:16" s="19" customFormat="1">
      <c r="A600" s="19" t="s">
        <v>610</v>
      </c>
      <c r="B600" s="19" t="s">
        <v>539</v>
      </c>
      <c r="C600" s="19">
        <v>1993</v>
      </c>
      <c r="D600" s="19" t="s">
        <v>1713</v>
      </c>
      <c r="E600" s="18">
        <v>34293</v>
      </c>
      <c r="F600" s="18" t="str">
        <f t="shared" si="9"/>
        <v>PEPE1993_Noviembre</v>
      </c>
      <c r="G600" s="19" t="s">
        <v>1604</v>
      </c>
      <c r="H600" s="21">
        <v>2.6288888888888891</v>
      </c>
      <c r="I600" s="21">
        <v>-77.941944444444445</v>
      </c>
      <c r="J600" s="22">
        <v>12</v>
      </c>
      <c r="K600" s="22">
        <v>26.4</v>
      </c>
      <c r="L600" s="23">
        <v>371.67</v>
      </c>
      <c r="M600" s="24">
        <v>16</v>
      </c>
      <c r="N600" s="24">
        <v>44</v>
      </c>
      <c r="O600" s="25">
        <v>0.79</v>
      </c>
      <c r="P600" s="25">
        <v>26.86</v>
      </c>
    </row>
    <row r="601" spans="1:16">
      <c r="A601" s="1" t="s">
        <v>611</v>
      </c>
      <c r="B601" s="1" t="s">
        <v>539</v>
      </c>
      <c r="C601" s="1">
        <v>1993</v>
      </c>
      <c r="D601" s="1" t="s">
        <v>1713</v>
      </c>
      <c r="E601" s="17">
        <v>34294</v>
      </c>
      <c r="F601" s="18" t="str">
        <f t="shared" si="9"/>
        <v>PEPE1993_Noviembre</v>
      </c>
      <c r="G601" s="1" t="s">
        <v>1565</v>
      </c>
      <c r="H601" s="3">
        <v>2.6863888888888887</v>
      </c>
      <c r="I601" s="3">
        <v>-78.350277777777777</v>
      </c>
      <c r="J601" s="12">
        <v>26</v>
      </c>
      <c r="K601" s="12">
        <v>28</v>
      </c>
      <c r="L601" s="4">
        <v>43.05</v>
      </c>
      <c r="M601" s="5">
        <v>106</v>
      </c>
      <c r="N601" s="5">
        <v>27</v>
      </c>
      <c r="O601" s="13">
        <v>30.6</v>
      </c>
      <c r="P601" s="13">
        <v>7.1400000000000006</v>
      </c>
    </row>
    <row r="602" spans="1:16">
      <c r="A602" s="1" t="s">
        <v>612</v>
      </c>
      <c r="B602" s="1" t="s">
        <v>539</v>
      </c>
      <c r="C602" s="1">
        <v>1993</v>
      </c>
      <c r="D602" s="1" t="s">
        <v>1713</v>
      </c>
      <c r="E602" s="17">
        <v>34294</v>
      </c>
      <c r="F602" s="18" t="str">
        <f t="shared" si="9"/>
        <v>PEPE1993_Noviembre</v>
      </c>
      <c r="G602" s="1" t="s">
        <v>1522</v>
      </c>
      <c r="H602" s="3">
        <v>2.6666666666666665</v>
      </c>
      <c r="I602" s="3">
        <v>-78.448333333333338</v>
      </c>
      <c r="J602" s="12">
        <v>30</v>
      </c>
      <c r="K602" s="12">
        <v>27.1</v>
      </c>
      <c r="L602" s="4">
        <v>121.29</v>
      </c>
      <c r="M602" s="5">
        <v>54</v>
      </c>
      <c r="N602" s="5">
        <v>143</v>
      </c>
      <c r="O602" s="13">
        <v>0</v>
      </c>
      <c r="P602" s="13">
        <v>6.79</v>
      </c>
    </row>
    <row r="603" spans="1:16">
      <c r="A603" s="1" t="s">
        <v>613</v>
      </c>
      <c r="B603" s="1" t="s">
        <v>539</v>
      </c>
      <c r="C603" s="1">
        <v>1993</v>
      </c>
      <c r="D603" s="1" t="s">
        <v>1713</v>
      </c>
      <c r="E603" s="17">
        <v>34294</v>
      </c>
      <c r="F603" s="18" t="str">
        <f t="shared" si="9"/>
        <v>PEPE1993_Noviembre</v>
      </c>
      <c r="G603" s="1" t="s">
        <v>1456</v>
      </c>
      <c r="H603" s="3">
        <v>2.5</v>
      </c>
      <c r="I603" s="3">
        <v>-78.56305555555555</v>
      </c>
      <c r="J603" s="12">
        <v>31</v>
      </c>
      <c r="K603" s="12">
        <v>27.3</v>
      </c>
      <c r="L603" s="4">
        <v>158.22999999999999</v>
      </c>
      <c r="M603" s="5">
        <v>269</v>
      </c>
      <c r="N603" s="5">
        <v>128</v>
      </c>
      <c r="O603" s="13">
        <v>241.02</v>
      </c>
      <c r="P603" s="13">
        <v>60.77</v>
      </c>
    </row>
    <row r="604" spans="1:16">
      <c r="A604" s="1" t="s">
        <v>614</v>
      </c>
      <c r="B604" s="1" t="s">
        <v>539</v>
      </c>
      <c r="C604" s="1">
        <v>1993</v>
      </c>
      <c r="D604" s="1" t="s">
        <v>1713</v>
      </c>
      <c r="E604" s="17">
        <v>34295</v>
      </c>
      <c r="F604" s="18" t="str">
        <f t="shared" si="9"/>
        <v>PEPE1993_Noviembre</v>
      </c>
      <c r="G604" s="1" t="s">
        <v>1569</v>
      </c>
      <c r="H604" s="3">
        <v>2.3433333333333333</v>
      </c>
      <c r="I604" s="3">
        <v>-78.650000000000006</v>
      </c>
      <c r="J604" s="12">
        <v>30</v>
      </c>
      <c r="K604" s="12">
        <v>27.2</v>
      </c>
      <c r="L604" s="4">
        <v>160.71</v>
      </c>
      <c r="M604" s="5">
        <v>3352</v>
      </c>
      <c r="N604" s="5">
        <v>1816</v>
      </c>
      <c r="O604" s="13">
        <v>294.88</v>
      </c>
      <c r="P604" s="13">
        <v>1610.2</v>
      </c>
    </row>
    <row r="605" spans="1:16">
      <c r="A605" s="1" t="s">
        <v>615</v>
      </c>
      <c r="B605" s="1" t="s">
        <v>539</v>
      </c>
      <c r="C605" s="1">
        <v>1993</v>
      </c>
      <c r="D605" s="1" t="s">
        <v>1713</v>
      </c>
      <c r="E605" s="17">
        <v>34294</v>
      </c>
      <c r="F605" s="18" t="str">
        <f t="shared" si="9"/>
        <v>PEPE1993_Noviembre</v>
      </c>
      <c r="G605" s="1" t="s">
        <v>1462</v>
      </c>
      <c r="H605" s="3">
        <v>2.3405555555555555</v>
      </c>
      <c r="I605" s="3">
        <v>-78.742222222222225</v>
      </c>
      <c r="J605" s="12">
        <v>33</v>
      </c>
      <c r="K605" s="12">
        <v>26.9</v>
      </c>
      <c r="L605" s="4">
        <v>104.6</v>
      </c>
      <c r="M605" s="5">
        <v>340</v>
      </c>
      <c r="N605" s="5">
        <v>494</v>
      </c>
      <c r="O605" s="13">
        <v>252.54000000000002</v>
      </c>
      <c r="P605" s="13">
        <v>230.58</v>
      </c>
    </row>
    <row r="606" spans="1:16">
      <c r="A606" s="1" t="s">
        <v>616</v>
      </c>
      <c r="B606" s="1" t="s">
        <v>539</v>
      </c>
      <c r="C606" s="1">
        <v>1993</v>
      </c>
      <c r="D606" s="1" t="s">
        <v>1713</v>
      </c>
      <c r="E606" s="17">
        <v>34294</v>
      </c>
      <c r="F606" s="18" t="str">
        <f t="shared" si="9"/>
        <v>PEPE1993_Noviembre</v>
      </c>
      <c r="G606" s="1" t="s">
        <v>1463</v>
      </c>
      <c r="H606" s="3">
        <v>2.3333333333333335</v>
      </c>
      <c r="I606" s="3">
        <v>-78.8</v>
      </c>
      <c r="J606" s="12">
        <v>35</v>
      </c>
      <c r="K606" s="12">
        <v>26.8</v>
      </c>
      <c r="L606" s="4">
        <v>202.09</v>
      </c>
      <c r="M606" s="5">
        <v>144</v>
      </c>
      <c r="N606" s="5">
        <v>1517</v>
      </c>
      <c r="O606" s="13">
        <v>0</v>
      </c>
      <c r="P606" s="13">
        <v>317.75</v>
      </c>
    </row>
    <row r="607" spans="1:16">
      <c r="A607" s="1" t="s">
        <v>617</v>
      </c>
      <c r="B607" s="1" t="s">
        <v>539</v>
      </c>
      <c r="C607" s="1">
        <v>1993</v>
      </c>
      <c r="D607" s="1" t="s">
        <v>1713</v>
      </c>
      <c r="E607" s="17">
        <v>34295</v>
      </c>
      <c r="F607" s="18" t="str">
        <f t="shared" si="9"/>
        <v>PEPE1993_Noviembre</v>
      </c>
      <c r="G607" s="1" t="s">
        <v>1466</v>
      </c>
      <c r="H607" s="3">
        <v>2.1691666666666665</v>
      </c>
      <c r="I607" s="3">
        <v>-78.730555555555554</v>
      </c>
      <c r="J607" s="12">
        <v>35</v>
      </c>
      <c r="K607" s="12">
        <v>27.1</v>
      </c>
      <c r="L607" s="4">
        <v>249.58</v>
      </c>
      <c r="M607" s="5">
        <v>250</v>
      </c>
      <c r="N607" s="5">
        <v>2194</v>
      </c>
      <c r="O607" s="13">
        <v>3.38</v>
      </c>
      <c r="P607" s="13">
        <v>1733.94</v>
      </c>
    </row>
    <row r="608" spans="1:16" s="19" customFormat="1">
      <c r="A608" s="19" t="s">
        <v>618</v>
      </c>
      <c r="B608" s="19" t="s">
        <v>539</v>
      </c>
      <c r="C608" s="19">
        <v>1993</v>
      </c>
      <c r="D608" s="19" t="s">
        <v>1713</v>
      </c>
      <c r="E608" s="18">
        <v>34295</v>
      </c>
      <c r="F608" s="18" t="str">
        <f t="shared" si="9"/>
        <v>PEPE1993_Noviembre</v>
      </c>
      <c r="G608" s="19" t="s">
        <v>1605</v>
      </c>
      <c r="H608" s="21">
        <v>1.9763888888888888</v>
      </c>
      <c r="I608" s="21">
        <v>-78.650000000000006</v>
      </c>
      <c r="J608" s="22">
        <v>30</v>
      </c>
      <c r="K608" s="22">
        <v>27.2</v>
      </c>
      <c r="L608" s="23">
        <v>70.510000000000005</v>
      </c>
      <c r="M608" s="24">
        <v>2474</v>
      </c>
      <c r="N608" s="24">
        <v>102</v>
      </c>
      <c r="O608" s="25">
        <v>1438.88</v>
      </c>
      <c r="P608" s="25">
        <v>76.160000000000011</v>
      </c>
    </row>
    <row r="609" spans="1:16" s="19" customFormat="1">
      <c r="A609" s="19" t="s">
        <v>619</v>
      </c>
      <c r="B609" s="19" t="s">
        <v>539</v>
      </c>
      <c r="C609" s="19">
        <v>1993</v>
      </c>
      <c r="D609" s="19" t="s">
        <v>1713</v>
      </c>
      <c r="E609" s="18">
        <v>34295</v>
      </c>
      <c r="F609" s="18" t="str">
        <f t="shared" si="9"/>
        <v>PEPE1993_Noviembre</v>
      </c>
      <c r="G609" s="19" t="s">
        <v>1606</v>
      </c>
      <c r="H609" s="21">
        <v>1.8847222222222222</v>
      </c>
      <c r="I609" s="21">
        <v>-78.588333333333338</v>
      </c>
      <c r="J609" s="22">
        <v>30</v>
      </c>
      <c r="K609" s="22">
        <v>29.1</v>
      </c>
      <c r="L609" s="23">
        <v>333.46</v>
      </c>
      <c r="M609" s="24">
        <v>17</v>
      </c>
      <c r="N609" s="24">
        <v>13</v>
      </c>
      <c r="O609" s="25">
        <v>9.57</v>
      </c>
      <c r="P609" s="25">
        <v>0.87</v>
      </c>
    </row>
    <row r="610" spans="1:16" s="19" customFormat="1">
      <c r="A610" s="19" t="s">
        <v>620</v>
      </c>
      <c r="B610" s="19" t="s">
        <v>539</v>
      </c>
      <c r="C610" s="19">
        <v>1993</v>
      </c>
      <c r="D610" s="19" t="s">
        <v>1713</v>
      </c>
      <c r="E610" s="18">
        <v>34295</v>
      </c>
      <c r="F610" s="18" t="str">
        <f t="shared" si="9"/>
        <v>PEPE1993_Noviembre</v>
      </c>
      <c r="G610" s="19" t="s">
        <v>1627</v>
      </c>
      <c r="H610" s="21">
        <v>1.8555555555555556</v>
      </c>
      <c r="I610" s="21">
        <v>-78.57138888888889</v>
      </c>
      <c r="J610" s="22">
        <v>27</v>
      </c>
      <c r="K610" s="22">
        <v>29.1</v>
      </c>
      <c r="L610" s="23">
        <v>3391.08</v>
      </c>
      <c r="M610" s="24">
        <v>10</v>
      </c>
      <c r="N610" s="24">
        <v>6</v>
      </c>
      <c r="O610" s="25">
        <v>1.62</v>
      </c>
      <c r="P610" s="25">
        <v>3.24</v>
      </c>
    </row>
    <row r="611" spans="1:16" s="19" customFormat="1">
      <c r="A611" s="19" t="s">
        <v>621</v>
      </c>
      <c r="B611" s="19" t="s">
        <v>539</v>
      </c>
      <c r="C611" s="19">
        <v>1993</v>
      </c>
      <c r="D611" s="19" t="s">
        <v>1713</v>
      </c>
      <c r="E611" s="18">
        <v>34295</v>
      </c>
      <c r="F611" s="18" t="str">
        <f t="shared" si="9"/>
        <v>PEPE1993_Noviembre</v>
      </c>
      <c r="G611" s="19" t="s">
        <v>1628</v>
      </c>
      <c r="H611" s="21">
        <v>1.8025</v>
      </c>
      <c r="I611" s="21">
        <v>-78.601944444444442</v>
      </c>
      <c r="J611" s="22">
        <v>25</v>
      </c>
      <c r="K611" s="22">
        <v>29.6</v>
      </c>
      <c r="L611" s="23">
        <v>227.35</v>
      </c>
      <c r="M611" s="24">
        <v>18</v>
      </c>
      <c r="N611" s="24">
        <v>147</v>
      </c>
      <c r="O611" s="25">
        <v>11.84</v>
      </c>
      <c r="P611" s="25">
        <v>17.759999999999998</v>
      </c>
    </row>
    <row r="612" spans="1:16" s="19" customFormat="1">
      <c r="A612" s="19" t="s">
        <v>622</v>
      </c>
      <c r="B612" s="19" t="s">
        <v>539</v>
      </c>
      <c r="C612" s="19">
        <v>1993</v>
      </c>
      <c r="D612" s="19" t="s">
        <v>1713</v>
      </c>
      <c r="E612" s="18">
        <v>34295</v>
      </c>
      <c r="F612" s="18" t="str">
        <f t="shared" si="9"/>
        <v>PEPE1993_Noviembre</v>
      </c>
      <c r="G612" s="19" t="s">
        <v>1607</v>
      </c>
      <c r="H612" s="21">
        <v>1.8497222222222223</v>
      </c>
      <c r="I612" s="21">
        <v>-78.710555555555558</v>
      </c>
      <c r="J612" s="22">
        <v>30</v>
      </c>
      <c r="K612" s="22">
        <v>28.3</v>
      </c>
      <c r="L612" s="23">
        <v>1709.94</v>
      </c>
      <c r="M612" s="24">
        <v>1492</v>
      </c>
      <c r="N612" s="24">
        <v>592</v>
      </c>
      <c r="O612" s="25">
        <v>1141.8499999999999</v>
      </c>
      <c r="P612" s="25">
        <v>229.59999999999997</v>
      </c>
    </row>
    <row r="613" spans="1:16">
      <c r="A613" s="1" t="s">
        <v>623</v>
      </c>
      <c r="B613" s="1" t="s">
        <v>539</v>
      </c>
      <c r="C613" s="1">
        <v>1993</v>
      </c>
      <c r="D613" s="1" t="s">
        <v>1713</v>
      </c>
      <c r="E613" s="17">
        <v>34295</v>
      </c>
      <c r="F613" s="18" t="str">
        <f t="shared" si="9"/>
        <v>PEPE1993_Noviembre</v>
      </c>
      <c r="G613" s="1" t="s">
        <v>1471</v>
      </c>
      <c r="H613" s="3">
        <v>2</v>
      </c>
      <c r="I613" s="3">
        <v>-78.6875</v>
      </c>
      <c r="J613" s="12">
        <v>27</v>
      </c>
      <c r="K613" s="12">
        <v>27.1</v>
      </c>
      <c r="L613" s="4">
        <v>415.51</v>
      </c>
      <c r="M613" s="5">
        <v>2323</v>
      </c>
      <c r="N613" s="5">
        <v>755</v>
      </c>
      <c r="O613" s="13">
        <v>376.32</v>
      </c>
      <c r="P613" s="13">
        <v>433.15999999999997</v>
      </c>
    </row>
    <row r="614" spans="1:16">
      <c r="A614" s="1" t="s">
        <v>624</v>
      </c>
      <c r="B614" s="1" t="s">
        <v>539</v>
      </c>
      <c r="C614" s="1">
        <v>1993</v>
      </c>
      <c r="D614" s="1" t="s">
        <v>1713</v>
      </c>
      <c r="E614" s="17">
        <v>34295</v>
      </c>
      <c r="F614" s="18" t="str">
        <f t="shared" si="9"/>
        <v>PEPE1993_Noviembre</v>
      </c>
      <c r="G614" s="1" t="s">
        <v>1629</v>
      </c>
      <c r="H614" s="3">
        <v>2.0102777777777776</v>
      </c>
      <c r="I614" s="3">
        <v>-78.68694444444445</v>
      </c>
      <c r="J614" s="12">
        <v>26</v>
      </c>
      <c r="K614" s="12">
        <v>26.7</v>
      </c>
      <c r="L614" s="4">
        <v>119</v>
      </c>
      <c r="M614" s="5">
        <v>1720</v>
      </c>
      <c r="N614" s="5">
        <v>1240</v>
      </c>
      <c r="O614" s="13">
        <v>333.5</v>
      </c>
      <c r="P614" s="13">
        <v>667</v>
      </c>
    </row>
    <row r="615" spans="1:16">
      <c r="A615" s="1" t="s">
        <v>625</v>
      </c>
      <c r="B615" s="1" t="s">
        <v>539</v>
      </c>
      <c r="C615" s="1">
        <v>1993</v>
      </c>
      <c r="D615" s="1" t="s">
        <v>1713</v>
      </c>
      <c r="E615" s="17">
        <v>34295</v>
      </c>
      <c r="F615" s="18" t="str">
        <f t="shared" si="9"/>
        <v>PEPE1993_Noviembre</v>
      </c>
      <c r="G615" s="1" t="s">
        <v>1472</v>
      </c>
      <c r="H615" s="3">
        <v>2.0011111111111113</v>
      </c>
      <c r="I615" s="3">
        <v>-78.760000000000005</v>
      </c>
      <c r="J615" s="12">
        <v>32</v>
      </c>
      <c r="K615" s="12">
        <v>27</v>
      </c>
      <c r="L615" s="4">
        <v>144.19999999999999</v>
      </c>
      <c r="M615" s="5">
        <v>463</v>
      </c>
      <c r="N615" s="5">
        <v>593</v>
      </c>
      <c r="O615" s="13">
        <v>284.64</v>
      </c>
      <c r="P615" s="13">
        <v>166.04</v>
      </c>
    </row>
    <row r="616" spans="1:16">
      <c r="A616" s="1" t="s">
        <v>626</v>
      </c>
      <c r="B616" s="1" t="s">
        <v>539</v>
      </c>
      <c r="C616" s="1">
        <v>1993</v>
      </c>
      <c r="D616" s="1" t="s">
        <v>1713</v>
      </c>
      <c r="E616" s="17">
        <v>34296</v>
      </c>
      <c r="F616" s="18" t="str">
        <f t="shared" si="9"/>
        <v>PEPE1993_Noviembre</v>
      </c>
      <c r="G616" s="1" t="s">
        <v>1473</v>
      </c>
      <c r="H616" s="3">
        <v>2.0105555555555554</v>
      </c>
      <c r="I616" s="3">
        <v>-78.843333333333334</v>
      </c>
      <c r="J616" s="12">
        <v>31</v>
      </c>
      <c r="K616" s="12">
        <v>27.1</v>
      </c>
      <c r="L616" s="4">
        <v>139.28</v>
      </c>
      <c r="M616" s="5">
        <v>72</v>
      </c>
      <c r="N616" s="5">
        <v>1098</v>
      </c>
      <c r="O616" s="13">
        <v>0</v>
      </c>
      <c r="P616" s="13">
        <v>441.78</v>
      </c>
    </row>
    <row r="617" spans="1:16">
      <c r="A617" s="1" t="s">
        <v>627</v>
      </c>
      <c r="B617" s="1" t="s">
        <v>539</v>
      </c>
      <c r="C617" s="1">
        <v>1993</v>
      </c>
      <c r="D617" s="1" t="s">
        <v>1713</v>
      </c>
      <c r="E617" s="17">
        <v>34296</v>
      </c>
      <c r="F617" s="18" t="str">
        <f t="shared" si="9"/>
        <v>PEPE1993_Noviembre</v>
      </c>
      <c r="G617" s="1" t="s">
        <v>1477</v>
      </c>
      <c r="H617" s="3">
        <v>1.8502777777777779</v>
      </c>
      <c r="I617" s="3">
        <v>-78.75611111111111</v>
      </c>
      <c r="J617" s="12">
        <v>30</v>
      </c>
      <c r="K617" s="12">
        <v>28</v>
      </c>
      <c r="L617" s="4">
        <v>188.79</v>
      </c>
      <c r="M617" s="5">
        <v>70</v>
      </c>
      <c r="N617" s="5">
        <v>122</v>
      </c>
      <c r="O617" s="13">
        <v>19.080000000000002</v>
      </c>
      <c r="P617" s="13">
        <v>69.960000000000008</v>
      </c>
    </row>
    <row r="618" spans="1:16">
      <c r="A618" s="1" t="s">
        <v>628</v>
      </c>
      <c r="B618" s="1" t="s">
        <v>539</v>
      </c>
      <c r="C618" s="1">
        <v>1993</v>
      </c>
      <c r="D618" s="1" t="s">
        <v>1713</v>
      </c>
      <c r="E618" s="17">
        <v>34295</v>
      </c>
      <c r="F618" s="18" t="str">
        <f t="shared" si="9"/>
        <v>PEPE1993_Noviembre</v>
      </c>
      <c r="G618" s="1" t="s">
        <v>1478</v>
      </c>
      <c r="H618" s="3">
        <v>1.8333333333333335</v>
      </c>
      <c r="I618" s="3">
        <v>-78.821666666666673</v>
      </c>
      <c r="J618" s="12">
        <v>29</v>
      </c>
      <c r="K618" s="12">
        <v>28.6</v>
      </c>
      <c r="L618" s="4">
        <v>191.14</v>
      </c>
      <c r="M618" s="5">
        <v>317</v>
      </c>
      <c r="N618" s="5">
        <v>159</v>
      </c>
      <c r="O618" s="13">
        <v>71.37</v>
      </c>
      <c r="P618" s="13">
        <v>45.75</v>
      </c>
    </row>
    <row r="619" spans="1:16">
      <c r="A619" s="1" t="s">
        <v>629</v>
      </c>
      <c r="B619" s="1" t="s">
        <v>539</v>
      </c>
      <c r="C619" s="1">
        <v>1993</v>
      </c>
      <c r="D619" s="1" t="s">
        <v>1713</v>
      </c>
      <c r="E619" s="17">
        <v>34295</v>
      </c>
      <c r="F619" s="18" t="str">
        <f t="shared" si="9"/>
        <v>PEPE1993_Noviembre</v>
      </c>
      <c r="G619" s="1" t="s">
        <v>1479</v>
      </c>
      <c r="H619" s="3">
        <v>1.8436111111111111</v>
      </c>
      <c r="I619" s="3">
        <v>-78.906666666666666</v>
      </c>
      <c r="J619" s="12">
        <v>31</v>
      </c>
      <c r="K619" s="12">
        <v>26.5</v>
      </c>
      <c r="L619" s="4">
        <v>132.99</v>
      </c>
      <c r="M619" s="5">
        <v>59</v>
      </c>
      <c r="N619" s="5">
        <v>142</v>
      </c>
      <c r="O619" s="13">
        <v>11.82</v>
      </c>
      <c r="P619" s="13">
        <v>11.82</v>
      </c>
    </row>
    <row r="620" spans="1:16">
      <c r="A620" s="1" t="s">
        <v>630</v>
      </c>
      <c r="B620" s="1" t="s">
        <v>539</v>
      </c>
      <c r="C620" s="1">
        <v>1993</v>
      </c>
      <c r="D620" s="1" t="s">
        <v>1713</v>
      </c>
      <c r="E620" s="17">
        <v>34295</v>
      </c>
      <c r="F620" s="18" t="str">
        <f t="shared" si="9"/>
        <v>PEPE1993_Noviembre</v>
      </c>
      <c r="G620" s="1" t="s">
        <v>1576</v>
      </c>
      <c r="H620" s="3">
        <v>1.6772222222222224</v>
      </c>
      <c r="I620" s="3">
        <v>-79.024722222222223</v>
      </c>
      <c r="J620" s="12">
        <v>28</v>
      </c>
      <c r="K620" s="12">
        <v>27.5</v>
      </c>
      <c r="L620" s="4">
        <v>124.77</v>
      </c>
      <c r="M620" s="5">
        <v>61</v>
      </c>
      <c r="N620" s="5">
        <v>2350</v>
      </c>
      <c r="O620" s="13">
        <v>11.06</v>
      </c>
      <c r="P620" s="13">
        <v>1631.3500000000001</v>
      </c>
    </row>
    <row r="621" spans="1:16">
      <c r="A621" s="1" t="s">
        <v>631</v>
      </c>
      <c r="B621" s="1" t="s">
        <v>539</v>
      </c>
      <c r="C621" s="1">
        <v>1993</v>
      </c>
      <c r="D621" s="1" t="s">
        <v>1713</v>
      </c>
      <c r="E621" s="17">
        <v>34295</v>
      </c>
      <c r="F621" s="18" t="str">
        <f t="shared" si="9"/>
        <v>PEPE1993_Noviembre</v>
      </c>
      <c r="G621" s="1" t="s">
        <v>1630</v>
      </c>
      <c r="H621" s="3">
        <v>1.5</v>
      </c>
      <c r="I621" s="3">
        <v>-78.921388888888885</v>
      </c>
      <c r="J621" s="12">
        <v>29</v>
      </c>
      <c r="K621" s="12">
        <v>27.5</v>
      </c>
      <c r="L621" s="4">
        <v>5186.72</v>
      </c>
      <c r="M621" s="5">
        <v>76</v>
      </c>
      <c r="N621" s="5">
        <v>243</v>
      </c>
      <c r="O621" s="13">
        <v>0</v>
      </c>
      <c r="P621" s="13">
        <v>75.900000000000006</v>
      </c>
    </row>
    <row r="622" spans="1:16">
      <c r="A622" s="1" t="s">
        <v>632</v>
      </c>
      <c r="B622" s="1" t="s">
        <v>539</v>
      </c>
      <c r="C622" s="1">
        <v>1993</v>
      </c>
      <c r="D622" s="1" t="s">
        <v>1713</v>
      </c>
      <c r="E622" s="17">
        <v>34295</v>
      </c>
      <c r="F622" s="18" t="str">
        <f t="shared" si="9"/>
        <v>PEPE1993_Noviembre</v>
      </c>
      <c r="G622" s="1" t="s">
        <v>1487</v>
      </c>
      <c r="H622" s="3">
        <v>1.506388888888889</v>
      </c>
      <c r="I622" s="3">
        <v>-78.954444444444448</v>
      </c>
      <c r="J622" s="12">
        <v>29</v>
      </c>
      <c r="K622" s="12">
        <v>27.5</v>
      </c>
      <c r="L622" s="4">
        <v>298.76</v>
      </c>
      <c r="M622" s="5">
        <v>43</v>
      </c>
      <c r="N622" s="5">
        <v>987</v>
      </c>
      <c r="O622" s="13">
        <v>3.34</v>
      </c>
      <c r="P622" s="13">
        <v>577.81999999999994</v>
      </c>
    </row>
    <row r="623" spans="1:16">
      <c r="A623" s="1" t="s">
        <v>633</v>
      </c>
      <c r="B623" s="1" t="s">
        <v>539</v>
      </c>
      <c r="C623" s="1">
        <v>1993</v>
      </c>
      <c r="D623" s="1" t="s">
        <v>1713</v>
      </c>
      <c r="E623" s="17">
        <v>34295</v>
      </c>
      <c r="F623" s="18" t="str">
        <f t="shared" si="9"/>
        <v>PEPE1993_Noviembre</v>
      </c>
      <c r="G623" s="1" t="s">
        <v>1488</v>
      </c>
      <c r="H623" s="3">
        <v>1.5</v>
      </c>
      <c r="I623" s="3">
        <v>-79.026666666666671</v>
      </c>
      <c r="J623" s="12">
        <v>30</v>
      </c>
      <c r="K623" s="12">
        <v>27.7</v>
      </c>
      <c r="L623" s="4">
        <v>572.01</v>
      </c>
      <c r="M623" s="5">
        <v>184</v>
      </c>
      <c r="N623" s="5">
        <v>1430</v>
      </c>
      <c r="O623" s="13">
        <v>184.11</v>
      </c>
      <c r="P623" s="13">
        <v>498.18</v>
      </c>
    </row>
    <row r="624" spans="1:16">
      <c r="A624" s="1" t="s">
        <v>634</v>
      </c>
      <c r="B624" s="1" t="s">
        <v>539</v>
      </c>
      <c r="C624" s="1">
        <v>1993</v>
      </c>
      <c r="D624" s="1" t="s">
        <v>1713</v>
      </c>
      <c r="E624" s="17">
        <v>34292</v>
      </c>
      <c r="F624" s="18" t="str">
        <f t="shared" si="9"/>
        <v>PEPE1993_Noviembre</v>
      </c>
      <c r="G624" s="1" t="s">
        <v>1608</v>
      </c>
      <c r="H624" s="3">
        <v>2.9680555555555554</v>
      </c>
      <c r="I624" s="3">
        <v>-78.176666666666662</v>
      </c>
      <c r="J624" s="12">
        <v>30</v>
      </c>
      <c r="K624" s="12">
        <v>27</v>
      </c>
      <c r="L624" s="4">
        <v>119.76</v>
      </c>
      <c r="M624" s="5">
        <v>915</v>
      </c>
      <c r="N624" s="5">
        <v>564</v>
      </c>
      <c r="O624" s="13">
        <v>0</v>
      </c>
      <c r="P624" s="13">
        <v>89.87</v>
      </c>
    </row>
    <row r="625" spans="1:16">
      <c r="A625" s="1" t="s">
        <v>635</v>
      </c>
      <c r="B625" s="1" t="s">
        <v>539</v>
      </c>
      <c r="C625" s="1">
        <v>1993</v>
      </c>
      <c r="D625" s="1" t="s">
        <v>1713</v>
      </c>
      <c r="E625" s="17">
        <v>34292</v>
      </c>
      <c r="F625" s="18" t="str">
        <f t="shared" si="9"/>
        <v>PEPE1993_Noviembre</v>
      </c>
      <c r="G625" s="1" t="s">
        <v>1609</v>
      </c>
      <c r="H625" s="3">
        <v>2.9924999999999997</v>
      </c>
      <c r="I625" s="3">
        <v>-78.176388888888894</v>
      </c>
      <c r="J625" s="12">
        <v>29</v>
      </c>
      <c r="K625" s="12">
        <v>26.8</v>
      </c>
      <c r="L625" s="4">
        <v>191.02</v>
      </c>
      <c r="M625" s="5">
        <v>1158</v>
      </c>
      <c r="N625" s="5">
        <v>841</v>
      </c>
      <c r="O625" s="13">
        <v>30.75</v>
      </c>
      <c r="P625" s="13">
        <v>71.75</v>
      </c>
    </row>
    <row r="626" spans="1:16">
      <c r="A626" s="1" t="s">
        <v>636</v>
      </c>
      <c r="B626" s="1" t="s">
        <v>539</v>
      </c>
      <c r="C626" s="1">
        <v>1993</v>
      </c>
      <c r="D626" s="1" t="s">
        <v>1713</v>
      </c>
      <c r="E626" s="17">
        <v>34293</v>
      </c>
      <c r="F626" s="18" t="str">
        <f t="shared" si="9"/>
        <v>PEPE1993_Noviembre</v>
      </c>
      <c r="G626" s="1" t="s">
        <v>1610</v>
      </c>
      <c r="H626" s="3">
        <v>2.9672222222222224</v>
      </c>
      <c r="I626" s="3">
        <v>-78.175555555555562</v>
      </c>
      <c r="J626" s="12">
        <v>30</v>
      </c>
      <c r="K626" s="12">
        <v>27.1</v>
      </c>
      <c r="L626" s="4">
        <v>144.5</v>
      </c>
      <c r="M626" s="5">
        <v>1310</v>
      </c>
      <c r="N626" s="5">
        <v>315</v>
      </c>
      <c r="O626" s="13">
        <v>1235.52</v>
      </c>
      <c r="P626" s="13">
        <v>17.16</v>
      </c>
    </row>
    <row r="627" spans="1:16">
      <c r="A627" s="1" t="s">
        <v>637</v>
      </c>
      <c r="B627" s="1" t="s">
        <v>539</v>
      </c>
      <c r="C627" s="1">
        <v>1993</v>
      </c>
      <c r="D627" s="1" t="s">
        <v>1713</v>
      </c>
      <c r="E627" s="17">
        <v>34293</v>
      </c>
      <c r="F627" s="18" t="str">
        <f t="shared" si="9"/>
        <v>PEPE1993_Noviembre</v>
      </c>
      <c r="G627" s="1" t="s">
        <v>1611</v>
      </c>
      <c r="H627" s="3">
        <v>2.993611111111111</v>
      </c>
      <c r="I627" s="3">
        <v>-78.177222222222227</v>
      </c>
      <c r="J627" s="12">
        <v>30</v>
      </c>
      <c r="K627" s="12">
        <v>26.6</v>
      </c>
      <c r="L627" s="4">
        <v>349.77</v>
      </c>
      <c r="M627" s="5">
        <v>166</v>
      </c>
      <c r="N627" s="5">
        <v>754</v>
      </c>
      <c r="O627" s="13">
        <v>0</v>
      </c>
      <c r="P627" s="13">
        <v>97.899999999999991</v>
      </c>
    </row>
    <row r="628" spans="1:16">
      <c r="A628" s="1" t="s">
        <v>638</v>
      </c>
      <c r="B628" s="1" t="s">
        <v>539</v>
      </c>
      <c r="C628" s="1">
        <v>1993</v>
      </c>
      <c r="D628" s="1" t="s">
        <v>1713</v>
      </c>
      <c r="E628" s="17">
        <v>34293</v>
      </c>
      <c r="F628" s="18" t="str">
        <f t="shared" si="9"/>
        <v>PEPE1993_Noviembre</v>
      </c>
      <c r="G628" s="1" t="s">
        <v>1612</v>
      </c>
      <c r="H628" s="3">
        <v>3.0049999999999999</v>
      </c>
      <c r="I628" s="3">
        <v>-78.19361111111111</v>
      </c>
      <c r="J628" s="12">
        <v>30</v>
      </c>
      <c r="K628" s="12">
        <v>27.2</v>
      </c>
      <c r="L628" s="4">
        <v>102.28</v>
      </c>
      <c r="M628" s="5">
        <v>916</v>
      </c>
      <c r="N628" s="5">
        <v>415</v>
      </c>
      <c r="O628" s="13">
        <v>0</v>
      </c>
      <c r="P628" s="13">
        <v>0</v>
      </c>
    </row>
    <row r="629" spans="1:16">
      <c r="A629" s="1" t="s">
        <v>639</v>
      </c>
      <c r="B629" s="1" t="s">
        <v>539</v>
      </c>
      <c r="C629" s="1">
        <v>1993</v>
      </c>
      <c r="D629" s="1" t="s">
        <v>1713</v>
      </c>
      <c r="E629" s="17">
        <v>34293</v>
      </c>
      <c r="F629" s="18" t="str">
        <f t="shared" si="9"/>
        <v>PEPE1993_Noviembre</v>
      </c>
      <c r="G629" s="1" t="s">
        <v>1613</v>
      </c>
      <c r="H629" s="3">
        <v>2.9513888888888888</v>
      </c>
      <c r="I629" s="3">
        <v>-78.213055555555556</v>
      </c>
      <c r="J629" s="12">
        <v>30</v>
      </c>
      <c r="K629" s="12">
        <v>26.9</v>
      </c>
      <c r="L629" s="4">
        <v>40.72</v>
      </c>
      <c r="M629" s="5">
        <v>158</v>
      </c>
      <c r="N629" s="5">
        <v>158</v>
      </c>
      <c r="O629" s="13">
        <v>4.9400000000000004</v>
      </c>
      <c r="P629" s="13">
        <v>24.700000000000003</v>
      </c>
    </row>
    <row r="630" spans="1:16">
      <c r="A630" s="1" t="s">
        <v>640</v>
      </c>
      <c r="B630" s="1" t="s">
        <v>539</v>
      </c>
      <c r="C630" s="1">
        <v>1993</v>
      </c>
      <c r="D630" s="1" t="s">
        <v>1713</v>
      </c>
      <c r="E630" s="17">
        <v>34293</v>
      </c>
      <c r="F630" s="18" t="str">
        <f t="shared" si="9"/>
        <v>PEPE1993_Noviembre</v>
      </c>
      <c r="G630" s="1" t="s">
        <v>1614</v>
      </c>
      <c r="H630" s="3">
        <v>2.9350000000000001</v>
      </c>
      <c r="I630" s="3">
        <v>-78.217500000000001</v>
      </c>
      <c r="J630" s="12">
        <v>30</v>
      </c>
      <c r="K630" s="12">
        <v>27.2</v>
      </c>
      <c r="L630" s="4">
        <v>119.55</v>
      </c>
      <c r="M630" s="5">
        <v>335</v>
      </c>
      <c r="N630" s="5">
        <v>224</v>
      </c>
      <c r="O630" s="13">
        <v>21.099999999999998</v>
      </c>
      <c r="P630" s="13">
        <v>6.33</v>
      </c>
    </row>
    <row r="631" spans="1:16">
      <c r="A631" s="1" t="s">
        <v>641</v>
      </c>
      <c r="B631" s="1" t="s">
        <v>642</v>
      </c>
      <c r="C631" s="1">
        <v>1994</v>
      </c>
      <c r="D631" s="1" t="s">
        <v>1714</v>
      </c>
      <c r="E631" s="17">
        <v>34438</v>
      </c>
      <c r="F631" s="18" t="str">
        <f t="shared" si="9"/>
        <v>PEPE1994_Abril</v>
      </c>
      <c r="G631" s="1" t="s">
        <v>1341</v>
      </c>
      <c r="H631" s="3">
        <v>6.6672222222222226</v>
      </c>
      <c r="I631" s="3">
        <v>-77.476388888888891</v>
      </c>
      <c r="J631" s="12">
        <v>31</v>
      </c>
      <c r="K631" s="12">
        <v>27.65</v>
      </c>
      <c r="L631" s="4">
        <v>932.02522775052557</v>
      </c>
      <c r="M631" s="5">
        <v>14</v>
      </c>
      <c r="N631" s="5">
        <v>120</v>
      </c>
      <c r="O631" s="13">
        <v>0</v>
      </c>
      <c r="P631" s="13">
        <v>79.98</v>
      </c>
    </row>
    <row r="632" spans="1:16">
      <c r="A632" s="1" t="s">
        <v>643</v>
      </c>
      <c r="B632" s="1" t="s">
        <v>642</v>
      </c>
      <c r="C632" s="1">
        <v>1994</v>
      </c>
      <c r="D632" s="1" t="s">
        <v>1714</v>
      </c>
      <c r="E632" s="17">
        <v>34438</v>
      </c>
      <c r="F632" s="18" t="str">
        <f t="shared" si="9"/>
        <v>PEPE1994_Abril</v>
      </c>
      <c r="G632" s="1" t="s">
        <v>1342</v>
      </c>
      <c r="H632" s="3">
        <v>6.6255555555555556</v>
      </c>
      <c r="I632" s="3">
        <v>-77.533611111111114</v>
      </c>
      <c r="J632" s="12">
        <v>28</v>
      </c>
      <c r="K632" s="12">
        <v>27.75</v>
      </c>
      <c r="L632" s="4">
        <v>509.53749673373397</v>
      </c>
      <c r="M632" s="5">
        <v>10</v>
      </c>
      <c r="N632" s="5">
        <v>145</v>
      </c>
      <c r="O632" s="13">
        <v>0</v>
      </c>
      <c r="P632" s="13">
        <v>29.07</v>
      </c>
    </row>
    <row r="633" spans="1:16">
      <c r="A633" s="1" t="s">
        <v>644</v>
      </c>
      <c r="B633" s="1" t="s">
        <v>642</v>
      </c>
      <c r="C633" s="1">
        <v>1994</v>
      </c>
      <c r="D633" s="1" t="s">
        <v>1714</v>
      </c>
      <c r="E633" s="17">
        <v>34438</v>
      </c>
      <c r="F633" s="18" t="str">
        <f t="shared" si="9"/>
        <v>PEPE1994_Abril</v>
      </c>
      <c r="G633" s="1" t="s">
        <v>1343</v>
      </c>
      <c r="H633" s="3">
        <v>6.6175000000000006</v>
      </c>
      <c r="I633" s="3">
        <v>-77.608611111111102</v>
      </c>
      <c r="J633" s="12">
        <v>29</v>
      </c>
      <c r="K633" s="12">
        <v>28</v>
      </c>
      <c r="L633" s="4">
        <v>530.80434551824192</v>
      </c>
      <c r="M633" s="5">
        <v>44</v>
      </c>
      <c r="N633" s="5">
        <v>155</v>
      </c>
      <c r="O633" s="13">
        <v>2.77</v>
      </c>
      <c r="P633" s="13">
        <v>24.93</v>
      </c>
    </row>
    <row r="634" spans="1:16">
      <c r="A634" s="1" t="s">
        <v>645</v>
      </c>
      <c r="B634" s="1" t="s">
        <v>642</v>
      </c>
      <c r="C634" s="1">
        <v>1994</v>
      </c>
      <c r="D634" s="1" t="s">
        <v>1714</v>
      </c>
      <c r="E634" s="17">
        <v>34438</v>
      </c>
      <c r="F634" s="18" t="str">
        <f t="shared" si="9"/>
        <v>PEPE1994_Abril</v>
      </c>
      <c r="G634" s="1" t="s">
        <v>1493</v>
      </c>
      <c r="H634" s="3">
        <v>6.5077777777777781</v>
      </c>
      <c r="I634" s="3">
        <v>-77.368055555555543</v>
      </c>
      <c r="J634" s="12">
        <v>30</v>
      </c>
      <c r="K634" s="12">
        <v>27.85</v>
      </c>
      <c r="L634" s="4">
        <v>794.45145018915514</v>
      </c>
      <c r="M634" s="5">
        <v>26</v>
      </c>
      <c r="N634" s="5">
        <v>109</v>
      </c>
      <c r="O634" s="13">
        <v>0</v>
      </c>
      <c r="P634" s="13">
        <v>32.1</v>
      </c>
    </row>
    <row r="635" spans="1:16">
      <c r="A635" s="1" t="s">
        <v>646</v>
      </c>
      <c r="B635" s="1" t="s">
        <v>642</v>
      </c>
      <c r="C635" s="1">
        <v>1994</v>
      </c>
      <c r="D635" s="1" t="s">
        <v>1714</v>
      </c>
      <c r="E635" s="17">
        <v>34439</v>
      </c>
      <c r="F635" s="18" t="str">
        <f t="shared" si="9"/>
        <v>PEPE1994_Abril</v>
      </c>
      <c r="G635" s="1" t="s">
        <v>1539</v>
      </c>
      <c r="H635" s="3">
        <v>6.3338888888888887</v>
      </c>
      <c r="I635" s="3">
        <v>-77.512500000000003</v>
      </c>
      <c r="J635" s="12">
        <v>22</v>
      </c>
      <c r="K635" s="12">
        <v>29.2</v>
      </c>
      <c r="L635" s="4">
        <v>284.62998102466793</v>
      </c>
      <c r="M635" s="5">
        <v>47</v>
      </c>
      <c r="N635" s="5">
        <v>140</v>
      </c>
      <c r="O635" s="13">
        <v>0</v>
      </c>
      <c r="P635" s="13">
        <v>15.54</v>
      </c>
    </row>
    <row r="636" spans="1:16">
      <c r="A636" s="1" t="s">
        <v>647</v>
      </c>
      <c r="B636" s="1" t="s">
        <v>642</v>
      </c>
      <c r="C636" s="1">
        <v>1994</v>
      </c>
      <c r="D636" s="1" t="s">
        <v>1714</v>
      </c>
      <c r="E636" s="17">
        <v>34439</v>
      </c>
      <c r="F636" s="18" t="str">
        <f t="shared" si="9"/>
        <v>PEPE1994_Abril</v>
      </c>
      <c r="G636" s="1" t="s">
        <v>1615</v>
      </c>
      <c r="H636" s="3">
        <v>6.0022222222222226</v>
      </c>
      <c r="I636" s="3">
        <v>-77.353888888888889</v>
      </c>
      <c r="J636" s="12">
        <v>27</v>
      </c>
      <c r="K636" s="12">
        <v>27.9</v>
      </c>
      <c r="L636" s="4">
        <v>734.82428115015978</v>
      </c>
      <c r="M636" s="5">
        <v>116</v>
      </c>
      <c r="N636" s="5">
        <v>272</v>
      </c>
      <c r="O636" s="13">
        <v>0</v>
      </c>
      <c r="P636" s="13">
        <v>116.39999999999999</v>
      </c>
    </row>
    <row r="637" spans="1:16">
      <c r="A637" s="1" t="s">
        <v>648</v>
      </c>
      <c r="B637" s="1" t="s">
        <v>642</v>
      </c>
      <c r="C637" s="1">
        <v>1994</v>
      </c>
      <c r="D637" s="1" t="s">
        <v>1714</v>
      </c>
      <c r="E637" s="17">
        <v>34439</v>
      </c>
      <c r="F637" s="18" t="str">
        <f t="shared" si="9"/>
        <v>PEPE1994_Abril</v>
      </c>
      <c r="G637" s="1" t="s">
        <v>1540</v>
      </c>
      <c r="H637" s="3">
        <v>6.0008333333333335</v>
      </c>
      <c r="I637" s="3">
        <v>-77.38333333333334</v>
      </c>
      <c r="J637" s="12">
        <v>27</v>
      </c>
      <c r="K637" s="12">
        <v>28.25</v>
      </c>
      <c r="L637" s="4">
        <v>360.57692307692304</v>
      </c>
      <c r="M637" s="5">
        <v>18</v>
      </c>
      <c r="N637" s="5">
        <v>134</v>
      </c>
      <c r="O637" s="13">
        <v>0</v>
      </c>
      <c r="P637" s="13">
        <v>53.400000000000006</v>
      </c>
    </row>
    <row r="638" spans="1:16">
      <c r="A638" s="1" t="s">
        <v>649</v>
      </c>
      <c r="B638" s="1" t="s">
        <v>642</v>
      </c>
      <c r="C638" s="1">
        <v>1994</v>
      </c>
      <c r="D638" s="1" t="s">
        <v>1714</v>
      </c>
      <c r="E638" s="17">
        <v>34439</v>
      </c>
      <c r="F638" s="18" t="str">
        <f t="shared" si="9"/>
        <v>PEPE1994_Abril</v>
      </c>
      <c r="G638" s="1" t="s">
        <v>1352</v>
      </c>
      <c r="H638" s="3">
        <v>6.0005555555555556</v>
      </c>
      <c r="I638" s="3">
        <v>-77.460277777777776</v>
      </c>
      <c r="J638" s="12">
        <v>25</v>
      </c>
      <c r="K638" s="12">
        <v>28.4</v>
      </c>
      <c r="L638" s="4">
        <v>529.64042759961137</v>
      </c>
      <c r="M638" s="5">
        <v>33</v>
      </c>
      <c r="N638" s="5">
        <v>170</v>
      </c>
      <c r="O638" s="13">
        <v>0</v>
      </c>
      <c r="P638" s="13">
        <v>82.05</v>
      </c>
    </row>
    <row r="639" spans="1:16">
      <c r="A639" s="1" t="s">
        <v>650</v>
      </c>
      <c r="B639" s="1" t="s">
        <v>642</v>
      </c>
      <c r="C639" s="1">
        <v>1994</v>
      </c>
      <c r="D639" s="1" t="s">
        <v>1714</v>
      </c>
      <c r="E639" s="17">
        <v>34439</v>
      </c>
      <c r="F639" s="18" t="str">
        <f t="shared" si="9"/>
        <v>PEPE1994_Abril</v>
      </c>
      <c r="G639" s="1" t="s">
        <v>1541</v>
      </c>
      <c r="H639" s="3">
        <v>6.0102777777777776</v>
      </c>
      <c r="I639" s="3">
        <v>-77.542777777777772</v>
      </c>
      <c r="J639" s="12">
        <v>25</v>
      </c>
      <c r="K639" s="12">
        <v>28.7</v>
      </c>
      <c r="L639" s="4">
        <v>481.00048100048105</v>
      </c>
      <c r="M639" s="5">
        <v>100</v>
      </c>
      <c r="N639" s="5">
        <v>67</v>
      </c>
      <c r="O639" s="13">
        <v>11.14</v>
      </c>
      <c r="P639" s="13">
        <v>11.14</v>
      </c>
    </row>
    <row r="640" spans="1:16">
      <c r="A640" s="1" t="s">
        <v>651</v>
      </c>
      <c r="B640" s="1" t="s">
        <v>642</v>
      </c>
      <c r="C640" s="1">
        <v>1994</v>
      </c>
      <c r="D640" s="1" t="s">
        <v>1714</v>
      </c>
      <c r="E640" s="17">
        <v>34440</v>
      </c>
      <c r="F640" s="18" t="str">
        <f t="shared" si="9"/>
        <v>PEPE1994_Abril</v>
      </c>
      <c r="G640" s="1" t="s">
        <v>1357</v>
      </c>
      <c r="H640" s="3">
        <v>5.8441666666666663</v>
      </c>
      <c r="I640" s="3">
        <v>-77.38333333333334</v>
      </c>
      <c r="J640" s="12">
        <v>27</v>
      </c>
      <c r="K640" s="12">
        <v>28.3</v>
      </c>
      <c r="L640" s="4">
        <v>315.69780100152406</v>
      </c>
      <c r="M640" s="5">
        <v>396</v>
      </c>
      <c r="N640" s="5">
        <v>57</v>
      </c>
      <c r="O640" s="13">
        <v>14.309999999999999</v>
      </c>
      <c r="P640" s="13">
        <v>4.7699999999999996</v>
      </c>
    </row>
    <row r="641" spans="1:16">
      <c r="A641" s="1" t="s">
        <v>652</v>
      </c>
      <c r="B641" s="1" t="s">
        <v>642</v>
      </c>
      <c r="C641" s="1">
        <v>1994</v>
      </c>
      <c r="D641" s="1" t="s">
        <v>1714</v>
      </c>
      <c r="E641" s="17">
        <v>34440</v>
      </c>
      <c r="F641" s="18" t="str">
        <f t="shared" si="9"/>
        <v>PEPE1994_Abril</v>
      </c>
      <c r="G641" s="1" t="s">
        <v>1504</v>
      </c>
      <c r="H641" s="3">
        <v>5.6775000000000002</v>
      </c>
      <c r="I641" s="3">
        <v>-77.338888888888889</v>
      </c>
      <c r="J641" s="12">
        <v>28</v>
      </c>
      <c r="K641" s="12">
        <v>28.7</v>
      </c>
      <c r="L641" s="4">
        <v>327.01111837802489</v>
      </c>
      <c r="M641" s="5">
        <v>878</v>
      </c>
      <c r="N641" s="5">
        <v>357</v>
      </c>
      <c r="O641" s="13">
        <v>81.84</v>
      </c>
      <c r="P641" s="13">
        <v>22.32</v>
      </c>
    </row>
    <row r="642" spans="1:16">
      <c r="A642" s="1" t="s">
        <v>653</v>
      </c>
      <c r="B642" s="1" t="s">
        <v>642</v>
      </c>
      <c r="C642" s="1">
        <v>1994</v>
      </c>
      <c r="D642" s="1" t="s">
        <v>1714</v>
      </c>
      <c r="E642" s="17">
        <v>34440</v>
      </c>
      <c r="F642" s="18" t="str">
        <f t="shared" si="9"/>
        <v>PEPE1994_Abril</v>
      </c>
      <c r="G642" s="1" t="s">
        <v>1505</v>
      </c>
      <c r="H642" s="3">
        <v>5.6669444444444448</v>
      </c>
      <c r="I642" s="3">
        <v>-77.417777777777786</v>
      </c>
      <c r="J642" s="12">
        <v>27</v>
      </c>
      <c r="K642" s="12">
        <v>28.35</v>
      </c>
      <c r="L642" s="4">
        <v>289.16702632714714</v>
      </c>
      <c r="M642" s="5">
        <v>6121</v>
      </c>
      <c r="N642" s="5">
        <v>37</v>
      </c>
      <c r="O642" s="13">
        <v>45.949999999999996</v>
      </c>
      <c r="P642" s="13">
        <v>9.19</v>
      </c>
    </row>
    <row r="643" spans="1:16">
      <c r="A643" s="1" t="s">
        <v>654</v>
      </c>
      <c r="B643" s="1" t="s">
        <v>642</v>
      </c>
      <c r="C643" s="1">
        <v>1994</v>
      </c>
      <c r="D643" s="1" t="s">
        <v>1714</v>
      </c>
      <c r="E643" s="17">
        <v>34440</v>
      </c>
      <c r="F643" s="18" t="str">
        <f t="shared" ref="F643:F706" si="10">"PEPE"&amp;C643&amp;"_"&amp;D643</f>
        <v>PEPE1994_Abril</v>
      </c>
      <c r="G643" s="1" t="s">
        <v>1361</v>
      </c>
      <c r="H643" s="3">
        <v>5.5002777777777778</v>
      </c>
      <c r="I643" s="3">
        <v>-77.554999999999993</v>
      </c>
      <c r="J643" s="12">
        <v>33</v>
      </c>
      <c r="K643" s="12">
        <v>29.1</v>
      </c>
      <c r="L643" s="4">
        <v>365.81310276022612</v>
      </c>
      <c r="M643" s="5">
        <v>1240</v>
      </c>
      <c r="N643" s="5">
        <v>156</v>
      </c>
      <c r="O643" s="13">
        <v>7.8</v>
      </c>
      <c r="P643" s="13">
        <v>15.6</v>
      </c>
    </row>
    <row r="644" spans="1:16">
      <c r="A644" s="1" t="s">
        <v>655</v>
      </c>
      <c r="B644" s="1" t="s">
        <v>642</v>
      </c>
      <c r="C644" s="1">
        <v>1994</v>
      </c>
      <c r="D644" s="1" t="s">
        <v>1714</v>
      </c>
      <c r="E644" s="17">
        <v>34440</v>
      </c>
      <c r="F644" s="18" t="str">
        <f t="shared" si="10"/>
        <v>PEPE1994_Abril</v>
      </c>
      <c r="G644" s="1" t="s">
        <v>1509</v>
      </c>
      <c r="H644" s="3">
        <v>5.5005555555555556</v>
      </c>
      <c r="I644" s="3">
        <v>-77.663888888888891</v>
      </c>
      <c r="J644" s="12">
        <v>32</v>
      </c>
      <c r="K644" s="12">
        <v>29.85</v>
      </c>
      <c r="L644" s="4">
        <v>268.14444047193422</v>
      </c>
      <c r="M644" s="5">
        <v>85</v>
      </c>
      <c r="N644" s="5">
        <v>333</v>
      </c>
      <c r="O644" s="13">
        <v>7.75</v>
      </c>
      <c r="P644" s="13">
        <v>23.25</v>
      </c>
    </row>
    <row r="645" spans="1:16">
      <c r="A645" s="1" t="s">
        <v>656</v>
      </c>
      <c r="B645" s="1" t="s">
        <v>642</v>
      </c>
      <c r="C645" s="1">
        <v>1994</v>
      </c>
      <c r="D645" s="1" t="s">
        <v>1714</v>
      </c>
      <c r="E645" s="17">
        <v>34440</v>
      </c>
      <c r="F645" s="18" t="str">
        <f t="shared" si="10"/>
        <v>PEPE1994_Abril</v>
      </c>
      <c r="G645" s="1" t="s">
        <v>1510</v>
      </c>
      <c r="H645" s="3">
        <v>5.333333333333333</v>
      </c>
      <c r="I645" s="3">
        <v>-77.444166666666675</v>
      </c>
      <c r="J645" s="12">
        <v>23</v>
      </c>
      <c r="K645" s="12">
        <v>29.3</v>
      </c>
      <c r="L645" s="4">
        <v>5.5</v>
      </c>
      <c r="M645" s="5">
        <v>22</v>
      </c>
      <c r="N645" s="5">
        <v>106</v>
      </c>
      <c r="O645" s="13">
        <v>0</v>
      </c>
      <c r="P645" s="13">
        <v>44.3</v>
      </c>
    </row>
    <row r="646" spans="1:16">
      <c r="A646" s="1" t="s">
        <v>657</v>
      </c>
      <c r="B646" s="1" t="s">
        <v>642</v>
      </c>
      <c r="C646" s="1">
        <v>1994</v>
      </c>
      <c r="D646" s="1" t="s">
        <v>1714</v>
      </c>
      <c r="E646" s="17">
        <v>34440</v>
      </c>
      <c r="F646" s="18" t="str">
        <f t="shared" si="10"/>
        <v>PEPE1994_Abril</v>
      </c>
      <c r="G646" s="1" t="s">
        <v>1365</v>
      </c>
      <c r="H646" s="3">
        <v>5.333333333333333</v>
      </c>
      <c r="I646" s="3">
        <v>-77.493611111111107</v>
      </c>
      <c r="J646" s="12">
        <v>24</v>
      </c>
      <c r="K646" s="12">
        <v>29.9</v>
      </c>
      <c r="L646" s="4">
        <v>227.66471196964471</v>
      </c>
      <c r="M646" s="5">
        <v>504</v>
      </c>
      <c r="N646" s="5">
        <v>835</v>
      </c>
      <c r="O646" s="13">
        <v>7.2</v>
      </c>
      <c r="P646" s="13">
        <v>172.8</v>
      </c>
    </row>
    <row r="647" spans="1:16">
      <c r="A647" s="1" t="s">
        <v>658</v>
      </c>
      <c r="B647" s="1" t="s">
        <v>642</v>
      </c>
      <c r="C647" s="1">
        <v>1994</v>
      </c>
      <c r="D647" s="1" t="s">
        <v>1714</v>
      </c>
      <c r="E647" s="17">
        <v>34440</v>
      </c>
      <c r="F647" s="18" t="str">
        <f t="shared" si="10"/>
        <v>PEPE1994_Abril</v>
      </c>
      <c r="G647" s="1" t="s">
        <v>1511</v>
      </c>
      <c r="H647" s="3">
        <v>5.1413888888888897</v>
      </c>
      <c r="I647" s="3">
        <v>-77.403333333333336</v>
      </c>
      <c r="J647" s="12">
        <v>32</v>
      </c>
      <c r="K647" s="12">
        <v>28.35</v>
      </c>
      <c r="L647" s="4">
        <v>168.53932584269663</v>
      </c>
      <c r="M647" s="5">
        <v>125</v>
      </c>
      <c r="N647" s="5">
        <v>106</v>
      </c>
      <c r="O647" s="13">
        <v>120.5</v>
      </c>
      <c r="P647" s="13">
        <v>33.74</v>
      </c>
    </row>
    <row r="648" spans="1:16">
      <c r="A648" s="1" t="s">
        <v>659</v>
      </c>
      <c r="B648" s="1" t="s">
        <v>642</v>
      </c>
      <c r="C648" s="1">
        <v>1994</v>
      </c>
      <c r="D648" s="1" t="s">
        <v>1714</v>
      </c>
      <c r="E648" s="17">
        <v>34440</v>
      </c>
      <c r="F648" s="18" t="str">
        <f t="shared" si="10"/>
        <v>PEPE1994_Abril</v>
      </c>
      <c r="G648" s="1" t="s">
        <v>1379</v>
      </c>
      <c r="H648" s="3">
        <v>5.1608333333333336</v>
      </c>
      <c r="I648" s="3">
        <v>-77.510000000000005</v>
      </c>
      <c r="J648" s="12">
        <v>32</v>
      </c>
      <c r="K648" s="12">
        <v>28.3</v>
      </c>
      <c r="L648" s="4">
        <v>539.3743257820928</v>
      </c>
      <c r="M648" s="5">
        <v>152</v>
      </c>
      <c r="N648" s="5">
        <v>545</v>
      </c>
      <c r="O648" s="13">
        <v>0</v>
      </c>
      <c r="P648" s="13">
        <v>101.44</v>
      </c>
    </row>
    <row r="649" spans="1:16">
      <c r="A649" s="1" t="s">
        <v>660</v>
      </c>
      <c r="B649" s="1" t="s">
        <v>642</v>
      </c>
      <c r="C649" s="1">
        <v>1994</v>
      </c>
      <c r="D649" s="1" t="s">
        <v>1714</v>
      </c>
      <c r="E649" s="17">
        <v>34440</v>
      </c>
      <c r="F649" s="18" t="str">
        <f t="shared" si="10"/>
        <v>PEPE1994_Abril</v>
      </c>
      <c r="G649" s="1" t="s">
        <v>1383</v>
      </c>
      <c r="H649" s="3">
        <v>5.01</v>
      </c>
      <c r="I649" s="3">
        <v>-77.399166666666673</v>
      </c>
      <c r="J649" s="12">
        <v>17</v>
      </c>
      <c r="K649" s="12">
        <v>27</v>
      </c>
      <c r="L649" s="4">
        <v>45.638945233265723</v>
      </c>
      <c r="M649" s="5">
        <v>20</v>
      </c>
      <c r="N649" s="5">
        <v>27</v>
      </c>
      <c r="O649" s="13">
        <v>14.879999999999999</v>
      </c>
      <c r="P649" s="13">
        <v>19.84</v>
      </c>
    </row>
    <row r="650" spans="1:16">
      <c r="A650" s="1" t="s">
        <v>661</v>
      </c>
      <c r="B650" s="1" t="s">
        <v>642</v>
      </c>
      <c r="C650" s="1">
        <v>1994</v>
      </c>
      <c r="D650" s="1" t="s">
        <v>1714</v>
      </c>
      <c r="E650" s="17">
        <v>34440</v>
      </c>
      <c r="F650" s="18" t="str">
        <f t="shared" si="10"/>
        <v>PEPE1994_Abril</v>
      </c>
      <c r="G650" s="1" t="s">
        <v>1384</v>
      </c>
      <c r="H650" s="3">
        <v>5</v>
      </c>
      <c r="I650" s="3">
        <v>-77.468055555555551</v>
      </c>
      <c r="J650" s="12">
        <v>30</v>
      </c>
      <c r="K650" s="12">
        <v>28.2</v>
      </c>
      <c r="L650" s="4">
        <v>406.74026728646135</v>
      </c>
      <c r="M650" s="5">
        <v>2423</v>
      </c>
      <c r="N650" s="5">
        <v>888</v>
      </c>
      <c r="O650" s="13">
        <v>0</v>
      </c>
      <c r="P650" s="13">
        <v>605.70000000000005</v>
      </c>
    </row>
    <row r="651" spans="1:16">
      <c r="A651" s="1" t="s">
        <v>662</v>
      </c>
      <c r="B651" s="1" t="s">
        <v>642</v>
      </c>
      <c r="C651" s="1">
        <v>1994</v>
      </c>
      <c r="D651" s="1" t="s">
        <v>1714</v>
      </c>
      <c r="E651" s="17">
        <v>34441</v>
      </c>
      <c r="F651" s="18" t="str">
        <f t="shared" si="10"/>
        <v>PEPE1994_Abril</v>
      </c>
      <c r="G651" s="1" t="s">
        <v>1388</v>
      </c>
      <c r="H651" s="3">
        <v>4.8347222222222221</v>
      </c>
      <c r="I651" s="3">
        <v>-77.370833333333323</v>
      </c>
      <c r="J651" s="12">
        <v>29</v>
      </c>
      <c r="K651" s="12">
        <v>28.45</v>
      </c>
      <c r="L651" s="4">
        <v>351.06382978723406</v>
      </c>
      <c r="M651" s="5">
        <v>803</v>
      </c>
      <c r="N651" s="5">
        <v>196</v>
      </c>
      <c r="O651" s="13">
        <v>262.08</v>
      </c>
      <c r="P651" s="13">
        <v>112.32000000000001</v>
      </c>
    </row>
    <row r="652" spans="1:16">
      <c r="A652" s="1" t="s">
        <v>663</v>
      </c>
      <c r="B652" s="1" t="s">
        <v>642</v>
      </c>
      <c r="C652" s="1">
        <v>1994</v>
      </c>
      <c r="D652" s="1" t="s">
        <v>1714</v>
      </c>
      <c r="E652" s="17">
        <v>34441</v>
      </c>
      <c r="F652" s="18" t="str">
        <f t="shared" si="10"/>
        <v>PEPE1994_Abril</v>
      </c>
      <c r="G652" s="1" t="s">
        <v>1389</v>
      </c>
      <c r="H652" s="3">
        <v>4.833333333333333</v>
      </c>
      <c r="I652" s="3">
        <v>-77.464722222222221</v>
      </c>
      <c r="J652" s="12">
        <v>29</v>
      </c>
      <c r="K652" s="12">
        <v>28.5</v>
      </c>
      <c r="L652" s="4">
        <v>148.53323431117713</v>
      </c>
      <c r="M652" s="5">
        <v>53</v>
      </c>
      <c r="N652" s="5">
        <v>79</v>
      </c>
      <c r="O652" s="13">
        <v>26.339999999999996</v>
      </c>
      <c r="P652" s="13">
        <v>8.7799999999999994</v>
      </c>
    </row>
    <row r="653" spans="1:16" s="19" customFormat="1">
      <c r="A653" s="19" t="s">
        <v>664</v>
      </c>
      <c r="B653" s="19" t="s">
        <v>642</v>
      </c>
      <c r="C653" s="19">
        <v>1994</v>
      </c>
      <c r="D653" s="19" t="s">
        <v>1714</v>
      </c>
      <c r="E653" s="18">
        <v>34441</v>
      </c>
      <c r="F653" s="18" t="str">
        <f t="shared" si="10"/>
        <v>PEPE1994_Abril</v>
      </c>
      <c r="G653" s="19" t="s">
        <v>1631</v>
      </c>
      <c r="H653" s="21">
        <v>4.7811111111111106</v>
      </c>
      <c r="I653" s="21">
        <v>-77.373055555555553</v>
      </c>
      <c r="J653" s="22">
        <v>28</v>
      </c>
      <c r="K653" s="22">
        <v>28.65</v>
      </c>
      <c r="L653" s="23">
        <v>200.40080160320642</v>
      </c>
      <c r="M653" s="24">
        <v>214</v>
      </c>
      <c r="N653" s="24">
        <v>29</v>
      </c>
      <c r="O653" s="25">
        <v>6.4</v>
      </c>
      <c r="P653" s="25">
        <v>19.200000000000003</v>
      </c>
    </row>
    <row r="654" spans="1:16">
      <c r="A654" s="1" t="s">
        <v>665</v>
      </c>
      <c r="B654" s="1" t="s">
        <v>642</v>
      </c>
      <c r="C654" s="1">
        <v>1994</v>
      </c>
      <c r="D654" s="1" t="s">
        <v>1714</v>
      </c>
      <c r="E654" s="17">
        <v>34441</v>
      </c>
      <c r="F654" s="18" t="str">
        <f t="shared" si="10"/>
        <v>PEPE1994_Abril</v>
      </c>
      <c r="G654" s="1" t="s">
        <v>1548</v>
      </c>
      <c r="H654" s="3">
        <v>4.6755555555555564</v>
      </c>
      <c r="I654" s="3">
        <v>-77.349999999999994</v>
      </c>
      <c r="J654" s="12">
        <v>29</v>
      </c>
      <c r="K654" s="12">
        <v>29</v>
      </c>
      <c r="L654" s="4">
        <v>130.4631441617743</v>
      </c>
      <c r="M654" s="5">
        <v>77</v>
      </c>
      <c r="N654" s="5">
        <v>17</v>
      </c>
      <c r="O654" s="13">
        <v>4.1399999999999997</v>
      </c>
      <c r="P654" s="13">
        <v>16.559999999999999</v>
      </c>
    </row>
    <row r="655" spans="1:16">
      <c r="A655" s="1" t="s">
        <v>666</v>
      </c>
      <c r="B655" s="1" t="s">
        <v>642</v>
      </c>
      <c r="C655" s="1">
        <v>1994</v>
      </c>
      <c r="D655" s="1" t="s">
        <v>1714</v>
      </c>
      <c r="E655" s="17">
        <v>34441</v>
      </c>
      <c r="F655" s="18" t="str">
        <f t="shared" si="10"/>
        <v>PEPE1994_Abril</v>
      </c>
      <c r="G655" s="1" t="s">
        <v>1617</v>
      </c>
      <c r="H655" s="3">
        <v>4.666666666666667</v>
      </c>
      <c r="I655" s="3">
        <v>-77.419722222222234</v>
      </c>
      <c r="J655" s="12">
        <v>27</v>
      </c>
      <c r="K655" s="12">
        <v>28.6</v>
      </c>
      <c r="L655" s="4">
        <v>242.24806201550388</v>
      </c>
      <c r="M655" s="5">
        <v>265</v>
      </c>
      <c r="N655" s="5">
        <v>605</v>
      </c>
      <c r="O655" s="13">
        <v>10.61</v>
      </c>
      <c r="P655" s="13">
        <v>106.1</v>
      </c>
    </row>
    <row r="656" spans="1:16">
      <c r="A656" s="1" t="s">
        <v>667</v>
      </c>
      <c r="B656" s="1" t="s">
        <v>642</v>
      </c>
      <c r="C656" s="1">
        <v>1994</v>
      </c>
      <c r="D656" s="1" t="s">
        <v>1714</v>
      </c>
      <c r="E656" s="17">
        <v>34441</v>
      </c>
      <c r="F656" s="18" t="str">
        <f t="shared" si="10"/>
        <v>PEPE1994_Abril</v>
      </c>
      <c r="G656" s="1" t="s">
        <v>1583</v>
      </c>
      <c r="H656" s="3">
        <v>4.4452777777777781</v>
      </c>
      <c r="I656" s="3">
        <v>-77.395277777777778</v>
      </c>
      <c r="J656" s="12">
        <v>23</v>
      </c>
      <c r="K656" s="12">
        <v>29.55</v>
      </c>
      <c r="L656" s="4">
        <v>972.7626459143969</v>
      </c>
      <c r="M656" s="5">
        <v>595</v>
      </c>
      <c r="N656" s="5">
        <v>814</v>
      </c>
      <c r="O656" s="13">
        <v>297.35000000000002</v>
      </c>
      <c r="P656" s="13">
        <v>250.4</v>
      </c>
    </row>
    <row r="657" spans="1:16">
      <c r="A657" s="1" t="s">
        <v>668</v>
      </c>
      <c r="B657" s="1" t="s">
        <v>642</v>
      </c>
      <c r="C657" s="1">
        <v>1994</v>
      </c>
      <c r="D657" s="1" t="s">
        <v>1714</v>
      </c>
      <c r="E657" s="17">
        <v>34441</v>
      </c>
      <c r="F657" s="18" t="str">
        <f t="shared" si="10"/>
        <v>PEPE1994_Abril</v>
      </c>
      <c r="G657" s="1" t="s">
        <v>1398</v>
      </c>
      <c r="H657" s="3">
        <v>4.5274999999999999</v>
      </c>
      <c r="I657" s="3">
        <v>-77.364999999999995</v>
      </c>
      <c r="J657" s="12">
        <v>26</v>
      </c>
      <c r="K657" s="12">
        <v>29.5</v>
      </c>
      <c r="L657" s="4">
        <v>245.09803921568627</v>
      </c>
      <c r="M657" s="5">
        <v>79</v>
      </c>
      <c r="N657" s="5">
        <v>79</v>
      </c>
      <c r="O657" s="13">
        <v>37.44</v>
      </c>
      <c r="P657" s="13">
        <v>24.96</v>
      </c>
    </row>
    <row r="658" spans="1:16">
      <c r="A658" s="1" t="s">
        <v>669</v>
      </c>
      <c r="B658" s="1" t="s">
        <v>642</v>
      </c>
      <c r="C658" s="1">
        <v>1994</v>
      </c>
      <c r="D658" s="1" t="s">
        <v>1714</v>
      </c>
      <c r="E658" s="17">
        <v>34441</v>
      </c>
      <c r="F658" s="18" t="str">
        <f t="shared" si="10"/>
        <v>PEPE1994_Abril</v>
      </c>
      <c r="G658" s="1" t="s">
        <v>1400</v>
      </c>
      <c r="H658" s="3">
        <v>4.5005555555555556</v>
      </c>
      <c r="I658" s="3">
        <v>-77.506666666666661</v>
      </c>
      <c r="J658" s="12">
        <v>24</v>
      </c>
      <c r="K658" s="12">
        <v>29.5</v>
      </c>
      <c r="L658" s="4">
        <v>106.89470871191875</v>
      </c>
      <c r="M658" s="5">
        <v>0</v>
      </c>
      <c r="N658" s="5">
        <v>181</v>
      </c>
      <c r="O658" s="1">
        <v>0</v>
      </c>
      <c r="P658" s="13">
        <v>115.14999999999999</v>
      </c>
    </row>
    <row r="659" spans="1:16">
      <c r="A659" s="1" t="s">
        <v>670</v>
      </c>
      <c r="B659" s="1" t="s">
        <v>642</v>
      </c>
      <c r="C659" s="1">
        <v>1994</v>
      </c>
      <c r="D659" s="1" t="s">
        <v>1714</v>
      </c>
      <c r="E659" s="17">
        <v>34441</v>
      </c>
      <c r="F659" s="18" t="str">
        <f t="shared" si="10"/>
        <v>PEPE1994_Abril</v>
      </c>
      <c r="G659" s="1" t="s">
        <v>1587</v>
      </c>
      <c r="H659" s="3">
        <v>4.2566666666666668</v>
      </c>
      <c r="I659" s="3">
        <v>-77.483611111111117</v>
      </c>
      <c r="J659" s="12">
        <v>26</v>
      </c>
      <c r="K659" s="12">
        <v>27.4</v>
      </c>
      <c r="L659" s="4">
        <v>239.39808481532148</v>
      </c>
      <c r="M659" s="5">
        <v>5</v>
      </c>
      <c r="N659" s="5">
        <v>44</v>
      </c>
      <c r="O659" s="13">
        <v>0</v>
      </c>
      <c r="P659" s="13">
        <v>23.49</v>
      </c>
    </row>
    <row r="660" spans="1:16">
      <c r="A660" s="1" t="s">
        <v>671</v>
      </c>
      <c r="B660" s="1" t="s">
        <v>642</v>
      </c>
      <c r="C660" s="1">
        <v>1994</v>
      </c>
      <c r="D660" s="1" t="s">
        <v>1714</v>
      </c>
      <c r="E660" s="17">
        <v>34441</v>
      </c>
      <c r="F660" s="18" t="str">
        <f t="shared" si="10"/>
        <v>PEPE1994_Abril</v>
      </c>
      <c r="G660" s="1" t="s">
        <v>1588</v>
      </c>
      <c r="H660" s="3">
        <v>4.269166666666667</v>
      </c>
      <c r="I660" s="3">
        <v>-77.50055555555555</v>
      </c>
      <c r="J660" s="12">
        <v>20</v>
      </c>
      <c r="K660" s="12">
        <v>27.4</v>
      </c>
      <c r="L660" s="4">
        <v>87.976539589442808</v>
      </c>
      <c r="M660" s="5">
        <v>5</v>
      </c>
      <c r="N660" s="5">
        <v>49</v>
      </c>
      <c r="O660" s="13">
        <v>0</v>
      </c>
      <c r="P660" s="13">
        <v>13.55</v>
      </c>
    </row>
    <row r="661" spans="1:16">
      <c r="A661" s="1" t="s">
        <v>672</v>
      </c>
      <c r="B661" s="1" t="s">
        <v>642</v>
      </c>
      <c r="C661" s="1">
        <v>1994</v>
      </c>
      <c r="D661" s="1" t="s">
        <v>1714</v>
      </c>
      <c r="E661" s="17">
        <v>34441</v>
      </c>
      <c r="F661" s="18" t="str">
        <f t="shared" si="10"/>
        <v>PEPE1994_Abril</v>
      </c>
      <c r="G661" s="1" t="s">
        <v>1619</v>
      </c>
      <c r="H661" s="3">
        <v>4.333333333333333</v>
      </c>
      <c r="I661" s="3">
        <v>-77.517222222222216</v>
      </c>
      <c r="J661" s="12">
        <v>30</v>
      </c>
      <c r="K661" s="12">
        <v>27.75</v>
      </c>
      <c r="L661" s="4">
        <v>211.41649048625794</v>
      </c>
      <c r="M661" s="5">
        <v>139</v>
      </c>
      <c r="N661" s="5">
        <v>964</v>
      </c>
      <c r="O661" s="13">
        <v>16.34</v>
      </c>
      <c r="P661" s="13">
        <v>547.39</v>
      </c>
    </row>
    <row r="662" spans="1:16">
      <c r="A662" s="1" t="s">
        <v>673</v>
      </c>
      <c r="B662" s="1" t="s">
        <v>642</v>
      </c>
      <c r="C662" s="1">
        <v>1994</v>
      </c>
      <c r="D662" s="1" t="s">
        <v>1714</v>
      </c>
      <c r="E662" s="17">
        <v>34441</v>
      </c>
      <c r="F662" s="18" t="str">
        <f t="shared" si="10"/>
        <v>PEPE1994_Abril</v>
      </c>
      <c r="G662" s="1" t="s">
        <v>1550</v>
      </c>
      <c r="H662" s="3">
        <v>4.335</v>
      </c>
      <c r="I662" s="3">
        <v>-77.592777777777769</v>
      </c>
      <c r="J662" s="12">
        <v>30</v>
      </c>
      <c r="K662" s="12">
        <v>27.9</v>
      </c>
      <c r="L662" s="4">
        <v>261.43790849673201</v>
      </c>
      <c r="M662" s="5">
        <v>77</v>
      </c>
      <c r="N662" s="5">
        <v>147</v>
      </c>
      <c r="O662" s="13">
        <v>0</v>
      </c>
      <c r="P662" s="13">
        <v>51.04</v>
      </c>
    </row>
    <row r="663" spans="1:16">
      <c r="A663" s="1" t="s">
        <v>674</v>
      </c>
      <c r="B663" s="1" t="s">
        <v>642</v>
      </c>
      <c r="C663" s="1">
        <v>1994</v>
      </c>
      <c r="D663" s="1" t="s">
        <v>1714</v>
      </c>
      <c r="E663" s="17">
        <v>34441</v>
      </c>
      <c r="F663" s="18" t="str">
        <f t="shared" si="10"/>
        <v>PEPE1994_Abril</v>
      </c>
      <c r="G663" s="1" t="s">
        <v>1405</v>
      </c>
      <c r="H663" s="3">
        <v>4.3338888888888887</v>
      </c>
      <c r="I663" s="3">
        <v>-77.668055555555554</v>
      </c>
      <c r="J663" s="12">
        <v>30</v>
      </c>
      <c r="K663" s="12">
        <v>27.9</v>
      </c>
      <c r="L663" s="4">
        <v>415.37781705700399</v>
      </c>
      <c r="M663" s="5">
        <v>61</v>
      </c>
      <c r="N663" s="5">
        <v>117</v>
      </c>
      <c r="O663" s="13">
        <v>0</v>
      </c>
      <c r="P663" s="13">
        <v>49.949999999999996</v>
      </c>
    </row>
    <row r="664" spans="1:16">
      <c r="A664" s="1" t="s">
        <v>675</v>
      </c>
      <c r="B664" s="1" t="s">
        <v>642</v>
      </c>
      <c r="C664" s="1">
        <v>1994</v>
      </c>
      <c r="D664" s="1" t="s">
        <v>1714</v>
      </c>
      <c r="E664" s="17">
        <v>34442</v>
      </c>
      <c r="F664" s="18" t="str">
        <f t="shared" si="10"/>
        <v>PEPE1994_Abril</v>
      </c>
      <c r="G664" s="1" t="s">
        <v>1408</v>
      </c>
      <c r="H664" s="3">
        <v>4.166666666666667</v>
      </c>
      <c r="I664" s="3">
        <v>-77.55083333333333</v>
      </c>
      <c r="J664" s="12">
        <v>20</v>
      </c>
      <c r="K664" s="12">
        <v>27.2</v>
      </c>
      <c r="L664" s="4">
        <v>23.696682464454973</v>
      </c>
      <c r="M664" s="5">
        <v>84</v>
      </c>
      <c r="N664" s="5">
        <v>37</v>
      </c>
      <c r="O664" s="13">
        <v>23.580000000000002</v>
      </c>
      <c r="P664" s="13">
        <v>20.96</v>
      </c>
    </row>
    <row r="665" spans="1:16">
      <c r="A665" s="1" t="s">
        <v>676</v>
      </c>
      <c r="B665" s="1" t="s">
        <v>642</v>
      </c>
      <c r="C665" s="1">
        <v>1994</v>
      </c>
      <c r="D665" s="1" t="s">
        <v>1714</v>
      </c>
      <c r="E665" s="17">
        <v>34442</v>
      </c>
      <c r="F665" s="18" t="str">
        <f t="shared" si="10"/>
        <v>PEPE1994_Abril</v>
      </c>
      <c r="G665" s="1" t="s">
        <v>1409</v>
      </c>
      <c r="H665" s="3">
        <v>4.166666666666667</v>
      </c>
      <c r="I665" s="3">
        <v>-77.617499999999993</v>
      </c>
      <c r="J665" s="12">
        <v>25</v>
      </c>
      <c r="K665" s="12">
        <v>27.6</v>
      </c>
      <c r="L665" s="4">
        <v>398.53869146462972</v>
      </c>
      <c r="M665" s="5">
        <v>156</v>
      </c>
      <c r="N665" s="5">
        <v>130</v>
      </c>
      <c r="O665" s="13">
        <v>8.69</v>
      </c>
      <c r="P665" s="13">
        <v>8.69</v>
      </c>
    </row>
    <row r="666" spans="1:16">
      <c r="A666" s="1" t="s">
        <v>677</v>
      </c>
      <c r="B666" s="1" t="s">
        <v>642</v>
      </c>
      <c r="C666" s="1">
        <v>1994</v>
      </c>
      <c r="D666" s="1" t="s">
        <v>1714</v>
      </c>
      <c r="E666" s="17">
        <v>34448</v>
      </c>
      <c r="F666" s="18" t="str">
        <f t="shared" si="10"/>
        <v>PEPE1994_Abril</v>
      </c>
      <c r="G666" s="1" t="s">
        <v>1595</v>
      </c>
      <c r="H666" s="3">
        <v>3.8149999999999999</v>
      </c>
      <c r="I666" s="3">
        <v>-77.157222222222231</v>
      </c>
      <c r="J666" s="12">
        <v>18</v>
      </c>
      <c r="K666" s="12">
        <v>27</v>
      </c>
      <c r="L666" s="4">
        <v>268.96180742334587</v>
      </c>
      <c r="M666" s="5">
        <v>0</v>
      </c>
      <c r="N666" s="5">
        <v>15</v>
      </c>
      <c r="O666" s="1">
        <v>0</v>
      </c>
      <c r="P666" s="13">
        <v>0.6</v>
      </c>
    </row>
    <row r="667" spans="1:16">
      <c r="A667" s="1" t="s">
        <v>678</v>
      </c>
      <c r="B667" s="1" t="s">
        <v>642</v>
      </c>
      <c r="C667" s="1">
        <v>1994</v>
      </c>
      <c r="D667" s="1" t="s">
        <v>1714</v>
      </c>
      <c r="E667" s="17">
        <v>34448</v>
      </c>
      <c r="F667" s="18" t="str">
        <f t="shared" si="10"/>
        <v>PEPE1994_Abril</v>
      </c>
      <c r="G667" s="1" t="s">
        <v>1596</v>
      </c>
      <c r="H667" s="3">
        <v>3.8688888888888888</v>
      </c>
      <c r="I667" s="3">
        <v>-77.12277777777777</v>
      </c>
      <c r="J667" s="12">
        <v>20</v>
      </c>
      <c r="K667" s="12">
        <v>28.3</v>
      </c>
      <c r="L667" s="4">
        <v>96.011816838995571</v>
      </c>
      <c r="M667" s="5">
        <v>2</v>
      </c>
      <c r="N667" s="5">
        <v>5</v>
      </c>
      <c r="O667" s="13">
        <v>0</v>
      </c>
      <c r="P667" s="13">
        <v>0.76</v>
      </c>
    </row>
    <row r="668" spans="1:16">
      <c r="A668" s="1" t="s">
        <v>679</v>
      </c>
      <c r="B668" s="1" t="s">
        <v>642</v>
      </c>
      <c r="C668" s="1">
        <v>1994</v>
      </c>
      <c r="D668" s="1" t="s">
        <v>1714</v>
      </c>
      <c r="E668" s="17">
        <v>34442</v>
      </c>
      <c r="F668" s="18" t="str">
        <f t="shared" si="10"/>
        <v>PEPE1994_Abril</v>
      </c>
      <c r="G668" s="1" t="s">
        <v>1417</v>
      </c>
      <c r="H668" s="3">
        <v>3.8333333333333335</v>
      </c>
      <c r="I668" s="3">
        <v>-77.326944444444436</v>
      </c>
      <c r="J668" s="12">
        <v>27</v>
      </c>
      <c r="K668" s="12">
        <v>27.85</v>
      </c>
      <c r="L668" s="4">
        <v>171.33066818960592</v>
      </c>
      <c r="M668" s="5">
        <v>125</v>
      </c>
      <c r="N668" s="5">
        <v>35</v>
      </c>
      <c r="O668" s="13">
        <v>0</v>
      </c>
      <c r="P668" s="13">
        <v>16.05</v>
      </c>
    </row>
    <row r="669" spans="1:16">
      <c r="A669" s="1" t="s">
        <v>680</v>
      </c>
      <c r="B669" s="1" t="s">
        <v>642</v>
      </c>
      <c r="C669" s="1">
        <v>1994</v>
      </c>
      <c r="D669" s="1" t="s">
        <v>1714</v>
      </c>
      <c r="E669" s="17">
        <v>34442</v>
      </c>
      <c r="F669" s="18" t="str">
        <f t="shared" si="10"/>
        <v>PEPE1994_Abril</v>
      </c>
      <c r="G669" s="1" t="s">
        <v>1418</v>
      </c>
      <c r="H669" s="3">
        <v>3.8436111111111111</v>
      </c>
      <c r="I669" s="3">
        <v>-77.393611111111099</v>
      </c>
      <c r="J669" s="12">
        <v>27</v>
      </c>
      <c r="K669" s="12">
        <v>27.5</v>
      </c>
      <c r="L669" s="4">
        <v>831.70254403131105</v>
      </c>
      <c r="M669" s="5">
        <v>217</v>
      </c>
      <c r="N669" s="5">
        <v>1014</v>
      </c>
      <c r="O669" s="13">
        <v>0</v>
      </c>
      <c r="P669" s="13">
        <v>108.36</v>
      </c>
    </row>
    <row r="670" spans="1:16">
      <c r="A670" s="1" t="s">
        <v>681</v>
      </c>
      <c r="B670" s="1" t="s">
        <v>642</v>
      </c>
      <c r="C670" s="1">
        <v>1994</v>
      </c>
      <c r="D670" s="1" t="s">
        <v>1714</v>
      </c>
      <c r="E670" s="17">
        <v>34442</v>
      </c>
      <c r="F670" s="18" t="str">
        <f t="shared" si="10"/>
        <v>PEPE1994_Abril</v>
      </c>
      <c r="G670" s="1" t="s">
        <v>1419</v>
      </c>
      <c r="H670" s="3">
        <v>3.8427777777777776</v>
      </c>
      <c r="I670" s="3">
        <v>-77.467500000000001</v>
      </c>
      <c r="J670" s="12">
        <v>26</v>
      </c>
      <c r="K670" s="12">
        <v>27.5</v>
      </c>
      <c r="L670" s="4">
        <v>787.40157480314963</v>
      </c>
      <c r="M670" s="5">
        <v>66</v>
      </c>
      <c r="N670" s="5">
        <v>942</v>
      </c>
      <c r="O670" s="13">
        <v>0</v>
      </c>
      <c r="P670" s="13">
        <v>57.82</v>
      </c>
    </row>
    <row r="671" spans="1:16">
      <c r="A671" s="1" t="s">
        <v>682</v>
      </c>
      <c r="B671" s="1" t="s">
        <v>642</v>
      </c>
      <c r="C671" s="1">
        <v>1994</v>
      </c>
      <c r="D671" s="1" t="s">
        <v>1714</v>
      </c>
      <c r="E671" s="17">
        <v>34443</v>
      </c>
      <c r="F671" s="18" t="str">
        <f t="shared" si="10"/>
        <v>PEPE1994_Abril</v>
      </c>
      <c r="G671" s="1" t="s">
        <v>1598</v>
      </c>
      <c r="H671" s="3">
        <v>3.6669444444444443</v>
      </c>
      <c r="I671" s="3">
        <v>-77.209722222222226</v>
      </c>
      <c r="J671" s="12">
        <v>26</v>
      </c>
      <c r="K671" s="12">
        <v>28.3</v>
      </c>
      <c r="L671" s="4">
        <v>1430.8426073131955</v>
      </c>
      <c r="M671" s="5">
        <v>2122</v>
      </c>
      <c r="N671" s="5">
        <v>669</v>
      </c>
      <c r="O671" s="13">
        <v>115.74</v>
      </c>
      <c r="P671" s="13">
        <v>424.38</v>
      </c>
    </row>
    <row r="672" spans="1:16">
      <c r="A672" s="1" t="s">
        <v>683</v>
      </c>
      <c r="B672" s="1" t="s">
        <v>642</v>
      </c>
      <c r="C672" s="1">
        <v>1994</v>
      </c>
      <c r="D672" s="1" t="s">
        <v>1714</v>
      </c>
      <c r="E672" s="17">
        <v>34442</v>
      </c>
      <c r="F672" s="18" t="str">
        <f t="shared" si="10"/>
        <v>PEPE1994_Abril</v>
      </c>
      <c r="G672" s="1" t="s">
        <v>1555</v>
      </c>
      <c r="H672" s="3">
        <v>3.6741666666666664</v>
      </c>
      <c r="I672" s="3">
        <v>-77.350555555555545</v>
      </c>
      <c r="J672" s="12">
        <v>29</v>
      </c>
      <c r="K672" s="12">
        <v>28</v>
      </c>
      <c r="L672" s="4">
        <v>335.75825405707889</v>
      </c>
      <c r="M672" s="5">
        <v>625</v>
      </c>
      <c r="N672" s="5">
        <v>16</v>
      </c>
      <c r="O672" s="13">
        <v>3.24</v>
      </c>
      <c r="P672" s="13">
        <v>6.48</v>
      </c>
    </row>
    <row r="673" spans="1:16">
      <c r="A673" s="1" t="s">
        <v>684</v>
      </c>
      <c r="B673" s="1" t="s">
        <v>642</v>
      </c>
      <c r="C673" s="1">
        <v>1994</v>
      </c>
      <c r="D673" s="1" t="s">
        <v>1714</v>
      </c>
      <c r="E673" s="17">
        <v>34442</v>
      </c>
      <c r="F673" s="18" t="str">
        <f t="shared" si="10"/>
        <v>PEPE1994_Abril</v>
      </c>
      <c r="G673" s="1" t="s">
        <v>1424</v>
      </c>
      <c r="H673" s="3">
        <v>3.6741666666666664</v>
      </c>
      <c r="I673" s="3">
        <v>-77.350555555555545</v>
      </c>
      <c r="J673" s="12">
        <v>28</v>
      </c>
      <c r="K673" s="12">
        <v>27.9</v>
      </c>
      <c r="L673" s="4">
        <v>260.68821689259647</v>
      </c>
      <c r="M673" s="5">
        <v>2252</v>
      </c>
      <c r="N673" s="5">
        <v>198</v>
      </c>
      <c r="O673" s="13">
        <v>0</v>
      </c>
      <c r="P673" s="13">
        <v>86.300000000000011</v>
      </c>
    </row>
    <row r="674" spans="1:16">
      <c r="A674" s="1" t="s">
        <v>685</v>
      </c>
      <c r="B674" s="1" t="s">
        <v>642</v>
      </c>
      <c r="C674" s="1">
        <v>1994</v>
      </c>
      <c r="D674" s="1" t="s">
        <v>1714</v>
      </c>
      <c r="E674" s="17">
        <v>34443</v>
      </c>
      <c r="F674" s="18" t="str">
        <f t="shared" si="10"/>
        <v>PEPE1994_Abril</v>
      </c>
      <c r="G674" s="1" t="s">
        <v>1599</v>
      </c>
      <c r="H674" s="3">
        <v>3.5180555555555557</v>
      </c>
      <c r="I674" s="3">
        <v>-77.30749999999999</v>
      </c>
      <c r="J674" s="12">
        <v>12</v>
      </c>
      <c r="K674" s="12">
        <v>27.7</v>
      </c>
      <c r="L674" s="4">
        <v>342.46575342465752</v>
      </c>
      <c r="M674" s="5">
        <v>646</v>
      </c>
      <c r="N674" s="5">
        <v>99</v>
      </c>
      <c r="O674" s="13">
        <v>24.84</v>
      </c>
      <c r="P674" s="13">
        <v>12.42</v>
      </c>
    </row>
    <row r="675" spans="1:16">
      <c r="A675" s="1" t="s">
        <v>686</v>
      </c>
      <c r="B675" s="1" t="s">
        <v>642</v>
      </c>
      <c r="C675" s="1">
        <v>1994</v>
      </c>
      <c r="D675" s="1" t="s">
        <v>1714</v>
      </c>
      <c r="E675" s="17">
        <v>34443</v>
      </c>
      <c r="F675" s="18" t="str">
        <f t="shared" si="10"/>
        <v>PEPE1994_Abril</v>
      </c>
      <c r="G675" s="1" t="s">
        <v>1600</v>
      </c>
      <c r="H675" s="3">
        <v>3.4713888888888889</v>
      </c>
      <c r="I675" s="3">
        <v>-77.300277777777779</v>
      </c>
      <c r="J675" s="12">
        <v>14</v>
      </c>
      <c r="K675" s="12">
        <v>27.8</v>
      </c>
      <c r="L675" s="4">
        <v>3366.3366336633662</v>
      </c>
      <c r="M675" s="5">
        <v>0</v>
      </c>
      <c r="N675" s="5">
        <v>66</v>
      </c>
      <c r="O675" s="1">
        <v>0</v>
      </c>
      <c r="P675" s="13">
        <v>9.4700000000000006</v>
      </c>
    </row>
    <row r="676" spans="1:16">
      <c r="A676" s="1" t="s">
        <v>687</v>
      </c>
      <c r="B676" s="1" t="s">
        <v>642</v>
      </c>
      <c r="C676" s="1">
        <v>1994</v>
      </c>
      <c r="D676" s="1" t="s">
        <v>1714</v>
      </c>
      <c r="E676" s="17">
        <v>34443</v>
      </c>
      <c r="F676" s="18" t="str">
        <f t="shared" si="10"/>
        <v>PEPE1994_Abril</v>
      </c>
      <c r="G676" s="1" t="s">
        <v>1427</v>
      </c>
      <c r="H676" s="3">
        <v>3.5</v>
      </c>
      <c r="I676" s="3">
        <v>-77.377499999999998</v>
      </c>
      <c r="J676" s="12">
        <v>30</v>
      </c>
      <c r="K676" s="12">
        <v>28.4</v>
      </c>
      <c r="L676" s="4">
        <v>129.15129151291512</v>
      </c>
      <c r="M676" s="5">
        <v>696</v>
      </c>
      <c r="N676" s="5">
        <v>58</v>
      </c>
      <c r="O676" s="13">
        <v>279.24</v>
      </c>
      <c r="P676" s="13">
        <v>11.700000000000001</v>
      </c>
    </row>
    <row r="677" spans="1:16">
      <c r="A677" s="1" t="s">
        <v>688</v>
      </c>
      <c r="B677" s="1" t="s">
        <v>642</v>
      </c>
      <c r="C677" s="1">
        <v>1994</v>
      </c>
      <c r="D677" s="1" t="s">
        <v>1714</v>
      </c>
      <c r="E677" s="17">
        <v>34443</v>
      </c>
      <c r="F677" s="18" t="str">
        <f t="shared" si="10"/>
        <v>PEPE1994_Abril</v>
      </c>
      <c r="G677" s="1" t="s">
        <v>1558</v>
      </c>
      <c r="H677" s="3">
        <v>3.342222222222222</v>
      </c>
      <c r="I677" s="3">
        <v>-77.500277777777782</v>
      </c>
      <c r="J677" s="12">
        <v>28</v>
      </c>
      <c r="K677" s="12">
        <v>28.6</v>
      </c>
      <c r="L677" s="4">
        <v>78.616352201257854</v>
      </c>
      <c r="M677" s="5">
        <v>479</v>
      </c>
      <c r="N677" s="5">
        <v>87</v>
      </c>
      <c r="O677" s="13">
        <v>167.56</v>
      </c>
      <c r="P677" s="13">
        <v>70.8</v>
      </c>
    </row>
    <row r="678" spans="1:16">
      <c r="A678" s="1" t="s">
        <v>689</v>
      </c>
      <c r="B678" s="1" t="s">
        <v>642</v>
      </c>
      <c r="C678" s="1">
        <v>1994</v>
      </c>
      <c r="D678" s="1" t="s">
        <v>1714</v>
      </c>
      <c r="E678" s="17">
        <v>34443</v>
      </c>
      <c r="F678" s="18" t="str">
        <f t="shared" si="10"/>
        <v>PEPE1994_Abril</v>
      </c>
      <c r="G678" s="1" t="s">
        <v>1559</v>
      </c>
      <c r="H678" s="3">
        <v>3.3338888888888891</v>
      </c>
      <c r="I678" s="3">
        <v>-77.570277777777775</v>
      </c>
      <c r="J678" s="12">
        <v>25</v>
      </c>
      <c r="K678" s="12">
        <v>29.3</v>
      </c>
      <c r="L678" s="4">
        <v>243.90243902439025</v>
      </c>
      <c r="M678" s="5">
        <v>411</v>
      </c>
      <c r="N678" s="5">
        <v>983</v>
      </c>
      <c r="O678" s="13">
        <v>60.570000000000007</v>
      </c>
      <c r="P678" s="13">
        <v>269.20000000000005</v>
      </c>
    </row>
    <row r="679" spans="1:16">
      <c r="A679" s="1" t="s">
        <v>690</v>
      </c>
      <c r="B679" s="1" t="s">
        <v>642</v>
      </c>
      <c r="C679" s="1">
        <v>1994</v>
      </c>
      <c r="D679" s="1" t="s">
        <v>1714</v>
      </c>
      <c r="E679" s="17">
        <v>34443</v>
      </c>
      <c r="F679" s="18" t="str">
        <f t="shared" si="10"/>
        <v>PEPE1994_Abril</v>
      </c>
      <c r="G679" s="1" t="s">
        <v>1434</v>
      </c>
      <c r="H679" s="3">
        <v>3.3355555555555556</v>
      </c>
      <c r="I679" s="3">
        <v>-77.672222222222231</v>
      </c>
      <c r="J679" s="12">
        <v>27</v>
      </c>
      <c r="K679" s="12">
        <v>28.75</v>
      </c>
      <c r="L679" s="4">
        <v>324.51323015476783</v>
      </c>
      <c r="M679" s="5">
        <v>189</v>
      </c>
      <c r="N679" s="5">
        <v>1779</v>
      </c>
      <c r="O679" s="13">
        <v>16.169999999999998</v>
      </c>
      <c r="P679" s="13">
        <v>264.10999999999996</v>
      </c>
    </row>
    <row r="680" spans="1:16">
      <c r="A680" s="1" t="s">
        <v>691</v>
      </c>
      <c r="B680" s="1" t="s">
        <v>642</v>
      </c>
      <c r="C680" s="1">
        <v>1994</v>
      </c>
      <c r="D680" s="1" t="s">
        <v>1714</v>
      </c>
      <c r="E680" s="17">
        <v>34443</v>
      </c>
      <c r="F680" s="18" t="str">
        <f t="shared" si="10"/>
        <v>PEPE1994_Abril</v>
      </c>
      <c r="G680" s="1" t="s">
        <v>1437</v>
      </c>
      <c r="H680" s="3">
        <v>3.1666666666666665</v>
      </c>
      <c r="I680" s="3">
        <v>-77.592777777777769</v>
      </c>
      <c r="J680" s="12">
        <v>25</v>
      </c>
      <c r="K680" s="12">
        <v>29.1</v>
      </c>
      <c r="L680" s="4">
        <v>42.265426880811496</v>
      </c>
      <c r="M680" s="5">
        <v>209</v>
      </c>
      <c r="N680" s="5">
        <v>78</v>
      </c>
      <c r="O680" s="13">
        <v>175.87</v>
      </c>
      <c r="P680" s="13">
        <v>61.349999999999994</v>
      </c>
    </row>
    <row r="681" spans="1:16">
      <c r="A681" s="1" t="s">
        <v>692</v>
      </c>
      <c r="B681" s="1" t="s">
        <v>642</v>
      </c>
      <c r="C681" s="1">
        <v>1994</v>
      </c>
      <c r="D681" s="1" t="s">
        <v>1714</v>
      </c>
      <c r="E681" s="17">
        <v>34443</v>
      </c>
      <c r="F681" s="18" t="str">
        <f t="shared" si="10"/>
        <v>PEPE1994_Abril</v>
      </c>
      <c r="G681" s="1" t="s">
        <v>1438</v>
      </c>
      <c r="H681" s="3">
        <v>3.1766666666666667</v>
      </c>
      <c r="I681" s="3">
        <v>-77.664444444444456</v>
      </c>
      <c r="J681" s="12">
        <v>30</v>
      </c>
      <c r="K681" s="12">
        <v>28</v>
      </c>
      <c r="L681" s="4">
        <v>461.30189646335208</v>
      </c>
      <c r="M681" s="5">
        <v>5464</v>
      </c>
      <c r="N681" s="5">
        <v>1096</v>
      </c>
      <c r="O681" s="13">
        <v>24</v>
      </c>
      <c r="P681" s="13">
        <v>392</v>
      </c>
    </row>
    <row r="682" spans="1:16">
      <c r="A682" s="1" t="s">
        <v>693</v>
      </c>
      <c r="B682" s="1" t="s">
        <v>642</v>
      </c>
      <c r="C682" s="1">
        <v>1994</v>
      </c>
      <c r="D682" s="1" t="s">
        <v>1714</v>
      </c>
      <c r="E682" s="17">
        <v>34443</v>
      </c>
      <c r="F682" s="18" t="str">
        <f t="shared" si="10"/>
        <v>PEPE1994_Abril</v>
      </c>
      <c r="G682" s="1" t="s">
        <v>1439</v>
      </c>
      <c r="H682" s="3">
        <v>3.1666666666666665</v>
      </c>
      <c r="I682" s="3">
        <v>-77.750277777777782</v>
      </c>
      <c r="J682" s="12">
        <v>28</v>
      </c>
      <c r="K682" s="12">
        <v>28.2</v>
      </c>
      <c r="L682" s="4">
        <v>909.36647468929971</v>
      </c>
      <c r="M682" s="5">
        <v>69</v>
      </c>
      <c r="N682" s="5">
        <v>1811</v>
      </c>
      <c r="O682" s="13">
        <v>0</v>
      </c>
      <c r="P682" s="13">
        <v>493.92</v>
      </c>
    </row>
    <row r="683" spans="1:16">
      <c r="A683" s="1" t="s">
        <v>694</v>
      </c>
      <c r="B683" s="1" t="s">
        <v>642</v>
      </c>
      <c r="C683" s="1">
        <v>1994</v>
      </c>
      <c r="D683" s="1" t="s">
        <v>1714</v>
      </c>
      <c r="E683" s="17">
        <v>34443</v>
      </c>
      <c r="F683" s="18" t="str">
        <f t="shared" si="10"/>
        <v>PEPE1994_Abril</v>
      </c>
      <c r="G683" s="1" t="s">
        <v>1562</v>
      </c>
      <c r="H683" s="3">
        <v>3.0002777777777778</v>
      </c>
      <c r="I683" s="3">
        <v>-77.718611111111116</v>
      </c>
      <c r="J683" s="12">
        <v>27</v>
      </c>
      <c r="K683" s="12">
        <v>28.5</v>
      </c>
      <c r="L683" s="4">
        <v>147.92899408284026</v>
      </c>
      <c r="M683" s="5">
        <v>555</v>
      </c>
      <c r="N683" s="5">
        <v>84</v>
      </c>
      <c r="O683" s="13">
        <v>14.24</v>
      </c>
      <c r="P683" s="13">
        <v>69.42</v>
      </c>
    </row>
    <row r="684" spans="1:16">
      <c r="A684" s="1" t="s">
        <v>695</v>
      </c>
      <c r="B684" s="1" t="s">
        <v>642</v>
      </c>
      <c r="C684" s="1">
        <v>1994</v>
      </c>
      <c r="D684" s="1" t="s">
        <v>1714</v>
      </c>
      <c r="E684" s="17">
        <v>34443</v>
      </c>
      <c r="F684" s="18" t="str">
        <f t="shared" si="10"/>
        <v>PEPE1994_Abril</v>
      </c>
      <c r="G684" s="1" t="s">
        <v>1443</v>
      </c>
      <c r="H684" s="3">
        <v>3.0108333333333333</v>
      </c>
      <c r="I684" s="3">
        <v>-77.786388888888894</v>
      </c>
      <c r="J684" s="12">
        <v>29</v>
      </c>
      <c r="K684" s="12">
        <v>27.95</v>
      </c>
      <c r="L684" s="4">
        <v>1074.1138560687432</v>
      </c>
      <c r="M684" s="5">
        <v>157</v>
      </c>
      <c r="N684" s="5">
        <v>1227</v>
      </c>
      <c r="O684" s="13">
        <v>0</v>
      </c>
      <c r="P684" s="13">
        <v>471.90000000000003</v>
      </c>
    </row>
    <row r="685" spans="1:16">
      <c r="A685" s="1" t="s">
        <v>696</v>
      </c>
      <c r="B685" s="1" t="s">
        <v>642</v>
      </c>
      <c r="C685" s="1">
        <v>1994</v>
      </c>
      <c r="D685" s="1" t="s">
        <v>1714</v>
      </c>
      <c r="E685" s="17">
        <v>34444</v>
      </c>
      <c r="F685" s="18" t="str">
        <f t="shared" si="10"/>
        <v>PEPE1994_Abril</v>
      </c>
      <c r="G685" s="1" t="s">
        <v>1624</v>
      </c>
      <c r="H685" s="3">
        <v>2.7916666666666665</v>
      </c>
      <c r="I685" s="3">
        <v>-77.755833333333328</v>
      </c>
      <c r="J685" s="12">
        <v>22</v>
      </c>
      <c r="K685" s="12">
        <v>27.8</v>
      </c>
      <c r="L685" s="4">
        <v>2392.3444976076557</v>
      </c>
      <c r="M685" s="5">
        <v>331</v>
      </c>
      <c r="N685" s="5">
        <v>93</v>
      </c>
      <c r="O685" s="13">
        <v>25.85</v>
      </c>
      <c r="P685" s="13">
        <v>72.38</v>
      </c>
    </row>
    <row r="686" spans="1:16">
      <c r="A686" s="1" t="s">
        <v>697</v>
      </c>
      <c r="B686" s="1" t="s">
        <v>642</v>
      </c>
      <c r="C686" s="1">
        <v>1994</v>
      </c>
      <c r="D686" s="1" t="s">
        <v>1714</v>
      </c>
      <c r="E686" s="17">
        <v>34444</v>
      </c>
      <c r="F686" s="18" t="str">
        <f t="shared" si="10"/>
        <v>PEPE1994_Abril</v>
      </c>
      <c r="G686" s="1" t="s">
        <v>1625</v>
      </c>
      <c r="H686" s="3">
        <v>2.7766666666666664</v>
      </c>
      <c r="I686" s="3">
        <v>-77.729166666666671</v>
      </c>
      <c r="J686" s="12">
        <v>7</v>
      </c>
      <c r="K686" s="12">
        <v>26.7</v>
      </c>
      <c r="L686" s="4">
        <v>73.529411764705884</v>
      </c>
      <c r="M686" s="5">
        <v>1</v>
      </c>
      <c r="N686" s="5">
        <v>87</v>
      </c>
      <c r="O686" s="13">
        <v>0.52</v>
      </c>
      <c r="P686" s="13">
        <v>71.760000000000005</v>
      </c>
    </row>
    <row r="687" spans="1:16">
      <c r="A687" s="1" t="s">
        <v>698</v>
      </c>
      <c r="B687" s="1" t="s">
        <v>642</v>
      </c>
      <c r="C687" s="1">
        <v>1994</v>
      </c>
      <c r="D687" s="1" t="s">
        <v>1714</v>
      </c>
      <c r="E687" s="17">
        <v>34444</v>
      </c>
      <c r="F687" s="18" t="str">
        <f t="shared" si="10"/>
        <v>PEPE1994_Abril</v>
      </c>
      <c r="G687" s="1" t="s">
        <v>1519</v>
      </c>
      <c r="H687" s="3">
        <v>2.8336111111111113</v>
      </c>
      <c r="I687" s="3">
        <v>-77.753888888888895</v>
      </c>
      <c r="J687" s="12">
        <v>26</v>
      </c>
      <c r="K687" s="12">
        <v>27.7</v>
      </c>
      <c r="L687" s="4">
        <v>2231.3296903460837</v>
      </c>
      <c r="M687" s="5">
        <v>694</v>
      </c>
      <c r="N687" s="5">
        <v>273</v>
      </c>
      <c r="O687" s="13">
        <v>185.13000000000002</v>
      </c>
      <c r="P687" s="13">
        <v>237.49</v>
      </c>
    </row>
    <row r="688" spans="1:16">
      <c r="A688" s="1" t="s">
        <v>699</v>
      </c>
      <c r="B688" s="1" t="s">
        <v>642</v>
      </c>
      <c r="C688" s="1">
        <v>1994</v>
      </c>
      <c r="D688" s="1" t="s">
        <v>1714</v>
      </c>
      <c r="E688" s="17">
        <v>34443</v>
      </c>
      <c r="F688" s="18" t="str">
        <f t="shared" si="10"/>
        <v>PEPE1994_Abril</v>
      </c>
      <c r="G688" s="1" t="s">
        <v>1447</v>
      </c>
      <c r="H688" s="3">
        <v>2.8336111111111113</v>
      </c>
      <c r="I688" s="3">
        <v>-77.833611111111111</v>
      </c>
      <c r="J688" s="12">
        <v>30</v>
      </c>
      <c r="K688" s="12">
        <v>27.8</v>
      </c>
      <c r="L688" s="4">
        <v>329.08268202385852</v>
      </c>
      <c r="M688" s="5">
        <v>747</v>
      </c>
      <c r="N688" s="5">
        <v>82</v>
      </c>
      <c r="O688" s="13">
        <v>2.44</v>
      </c>
      <c r="P688" s="13">
        <v>37.82</v>
      </c>
    </row>
    <row r="689" spans="1:16">
      <c r="A689" s="1" t="s">
        <v>700</v>
      </c>
      <c r="B689" s="1" t="s">
        <v>642</v>
      </c>
      <c r="C689" s="1">
        <v>1994</v>
      </c>
      <c r="D689" s="1" t="s">
        <v>1714</v>
      </c>
      <c r="E689" s="17">
        <v>34444</v>
      </c>
      <c r="F689" s="18" t="str">
        <f t="shared" si="10"/>
        <v>PEPE1994_Abril</v>
      </c>
      <c r="G689" s="1" t="s">
        <v>1626</v>
      </c>
      <c r="H689" s="3">
        <v>2.6975000000000002</v>
      </c>
      <c r="I689" s="3">
        <v>-78.210000000000008</v>
      </c>
      <c r="J689" s="12">
        <v>30</v>
      </c>
      <c r="K689" s="12">
        <v>28.05</v>
      </c>
      <c r="L689" s="4">
        <v>119.57205789804908</v>
      </c>
      <c r="M689" s="5">
        <v>104</v>
      </c>
      <c r="N689" s="5">
        <v>45</v>
      </c>
      <c r="O689" s="13">
        <v>29.25</v>
      </c>
      <c r="P689" s="13">
        <v>13.5</v>
      </c>
    </row>
    <row r="690" spans="1:16">
      <c r="A690" s="1" t="s">
        <v>701</v>
      </c>
      <c r="B690" s="1" t="s">
        <v>642</v>
      </c>
      <c r="C690" s="1">
        <v>1994</v>
      </c>
      <c r="D690" s="1" t="s">
        <v>1714</v>
      </c>
      <c r="E690" s="17">
        <v>34444</v>
      </c>
      <c r="F690" s="18" t="str">
        <f t="shared" si="10"/>
        <v>PEPE1994_Abril</v>
      </c>
      <c r="G690" s="1" t="s">
        <v>1603</v>
      </c>
      <c r="H690" s="3">
        <v>2.684166666666667</v>
      </c>
      <c r="I690" s="3">
        <v>-77.958611111111111</v>
      </c>
      <c r="J690" s="12">
        <v>24</v>
      </c>
      <c r="K690" s="12">
        <v>28.45</v>
      </c>
      <c r="L690" s="4">
        <v>1316.3064833005894</v>
      </c>
      <c r="M690" s="5">
        <v>118</v>
      </c>
      <c r="N690" s="5">
        <v>145</v>
      </c>
      <c r="O690" s="13">
        <v>39.96</v>
      </c>
      <c r="P690" s="13">
        <v>54.390000000000008</v>
      </c>
    </row>
    <row r="691" spans="1:16">
      <c r="A691" s="1" t="s">
        <v>702</v>
      </c>
      <c r="B691" s="1" t="s">
        <v>642</v>
      </c>
      <c r="C691" s="1">
        <v>1994</v>
      </c>
      <c r="D691" s="1" t="s">
        <v>1714</v>
      </c>
      <c r="E691" s="17">
        <v>34444</v>
      </c>
      <c r="F691" s="18" t="str">
        <f t="shared" si="10"/>
        <v>PEPE1994_Abril</v>
      </c>
      <c r="G691" s="1" t="s">
        <v>1604</v>
      </c>
      <c r="H691" s="3">
        <v>2.6283333333333334</v>
      </c>
      <c r="I691" s="3">
        <v>-77.441111111111113</v>
      </c>
      <c r="J691" s="12">
        <v>14</v>
      </c>
      <c r="K691" s="12">
        <v>28.55</v>
      </c>
      <c r="L691" s="4">
        <v>1186.9436201780416</v>
      </c>
      <c r="M691" s="5">
        <v>101</v>
      </c>
      <c r="N691" s="5">
        <v>491</v>
      </c>
      <c r="O691" s="13">
        <v>43.349999999999994</v>
      </c>
      <c r="P691" s="13">
        <v>144.5</v>
      </c>
    </row>
    <row r="692" spans="1:16">
      <c r="A692" s="1" t="s">
        <v>703</v>
      </c>
      <c r="B692" s="1" t="s">
        <v>642</v>
      </c>
      <c r="C692" s="1">
        <v>1994</v>
      </c>
      <c r="D692" s="1" t="s">
        <v>1714</v>
      </c>
      <c r="E692" s="17">
        <v>34444</v>
      </c>
      <c r="F692" s="18" t="str">
        <f t="shared" si="10"/>
        <v>PEPE1994_Abril</v>
      </c>
      <c r="G692" s="1" t="s">
        <v>1565</v>
      </c>
      <c r="H692" s="3">
        <v>2.6850000000000001</v>
      </c>
      <c r="I692" s="3">
        <v>-78.36</v>
      </c>
      <c r="J692" s="12">
        <v>30</v>
      </c>
      <c r="K692" s="12">
        <v>26.8</v>
      </c>
      <c r="L692" s="4">
        <v>660.0660066006601</v>
      </c>
      <c r="M692" s="5">
        <v>69</v>
      </c>
      <c r="N692" s="5">
        <v>907</v>
      </c>
      <c r="O692" s="13">
        <v>12.18</v>
      </c>
      <c r="P692" s="13">
        <v>410.05999999999995</v>
      </c>
    </row>
    <row r="693" spans="1:16">
      <c r="A693" s="1" t="s">
        <v>704</v>
      </c>
      <c r="B693" s="1" t="s">
        <v>642</v>
      </c>
      <c r="C693" s="1">
        <v>1994</v>
      </c>
      <c r="D693" s="1" t="s">
        <v>1714</v>
      </c>
      <c r="E693" s="17">
        <v>34445</v>
      </c>
      <c r="F693" s="18" t="str">
        <f t="shared" si="10"/>
        <v>PEPE1994_Abril</v>
      </c>
      <c r="G693" s="1" t="s">
        <v>1522</v>
      </c>
      <c r="H693" s="3">
        <v>2.6772222222222219</v>
      </c>
      <c r="I693" s="3">
        <v>-78.446666666666673</v>
      </c>
      <c r="J693" s="12">
        <v>31</v>
      </c>
      <c r="K693" s="12">
        <v>27.1</v>
      </c>
      <c r="L693" s="4">
        <v>198.67549668874173</v>
      </c>
      <c r="M693" s="5">
        <v>656</v>
      </c>
      <c r="N693" s="5">
        <v>952</v>
      </c>
      <c r="O693" s="13">
        <v>70.5</v>
      </c>
      <c r="P693" s="13">
        <v>747.3</v>
      </c>
    </row>
    <row r="694" spans="1:16">
      <c r="A694" s="1" t="s">
        <v>705</v>
      </c>
      <c r="B694" s="1" t="s">
        <v>642</v>
      </c>
      <c r="C694" s="1">
        <v>1994</v>
      </c>
      <c r="D694" s="1" t="s">
        <v>1714</v>
      </c>
      <c r="E694" s="17">
        <v>34445</v>
      </c>
      <c r="F694" s="18" t="str">
        <f t="shared" si="10"/>
        <v>PEPE1994_Abril</v>
      </c>
      <c r="G694" s="1" t="s">
        <v>1456</v>
      </c>
      <c r="H694" s="3">
        <v>2.5011111111111113</v>
      </c>
      <c r="I694" s="3">
        <v>-78.575555555555553</v>
      </c>
      <c r="J694" s="12">
        <v>31</v>
      </c>
      <c r="K694" s="12">
        <v>27.6</v>
      </c>
      <c r="L694" s="4">
        <v>255.42784163473817</v>
      </c>
      <c r="M694" s="5">
        <v>323</v>
      </c>
      <c r="N694" s="5">
        <v>70</v>
      </c>
      <c r="O694" s="13">
        <v>156.04</v>
      </c>
      <c r="P694" s="13">
        <v>52.64</v>
      </c>
    </row>
    <row r="695" spans="1:16">
      <c r="A695" s="1" t="s">
        <v>706</v>
      </c>
      <c r="B695" s="1" t="s">
        <v>642</v>
      </c>
      <c r="C695" s="1">
        <v>1994</v>
      </c>
      <c r="D695" s="1" t="s">
        <v>1714</v>
      </c>
      <c r="E695" s="17">
        <v>34445</v>
      </c>
      <c r="F695" s="18" t="str">
        <f t="shared" si="10"/>
        <v>PEPE1994_Abril</v>
      </c>
      <c r="G695" s="1" t="s">
        <v>1569</v>
      </c>
      <c r="H695" s="3">
        <v>2.3580555555555556</v>
      </c>
      <c r="I695" s="3">
        <v>-78.659722222222229</v>
      </c>
      <c r="J695" s="12">
        <v>28</v>
      </c>
      <c r="K695" s="12">
        <v>27.8</v>
      </c>
      <c r="L695" s="4">
        <v>1029.512697323267</v>
      </c>
      <c r="M695" s="5">
        <v>2581</v>
      </c>
      <c r="N695" s="5">
        <v>284</v>
      </c>
      <c r="O695" s="13">
        <v>336.59999999999997</v>
      </c>
      <c r="P695" s="13">
        <v>105.6</v>
      </c>
    </row>
    <row r="696" spans="1:16">
      <c r="A696" s="1" t="s">
        <v>707</v>
      </c>
      <c r="B696" s="1" t="s">
        <v>642</v>
      </c>
      <c r="C696" s="1">
        <v>1994</v>
      </c>
      <c r="D696" s="1" t="s">
        <v>1714</v>
      </c>
      <c r="E696" s="17">
        <v>34445</v>
      </c>
      <c r="F696" s="18" t="str">
        <f t="shared" si="10"/>
        <v>PEPE1994_Abril</v>
      </c>
      <c r="G696" s="1" t="s">
        <v>1463</v>
      </c>
      <c r="H696" s="3">
        <v>2.3441666666666663</v>
      </c>
      <c r="I696" s="3">
        <v>-78.816944444444445</v>
      </c>
      <c r="J696" s="12">
        <v>28</v>
      </c>
      <c r="K696" s="12">
        <v>27.5</v>
      </c>
      <c r="L696" s="4">
        <v>708.71722182849044</v>
      </c>
      <c r="M696" s="5">
        <v>1025</v>
      </c>
      <c r="N696" s="5">
        <v>199</v>
      </c>
      <c r="O696" s="13">
        <v>0</v>
      </c>
      <c r="P696" s="13">
        <v>8.3000000000000007</v>
      </c>
    </row>
    <row r="697" spans="1:16">
      <c r="A697" s="1" t="s">
        <v>708</v>
      </c>
      <c r="B697" s="1" t="s">
        <v>642</v>
      </c>
      <c r="C697" s="1">
        <v>1994</v>
      </c>
      <c r="D697" s="1" t="s">
        <v>1714</v>
      </c>
      <c r="E697" s="17">
        <v>34445</v>
      </c>
      <c r="F697" s="18" t="str">
        <f t="shared" si="10"/>
        <v>PEPE1994_Abril</v>
      </c>
      <c r="G697" s="1" t="s">
        <v>1466</v>
      </c>
      <c r="H697" s="3">
        <v>2.1774999999999998</v>
      </c>
      <c r="I697" s="3">
        <v>-78.730555555555554</v>
      </c>
      <c r="J697" s="12">
        <v>32</v>
      </c>
      <c r="K697" s="12">
        <v>28.75</v>
      </c>
      <c r="L697" s="4">
        <v>902.52707581227435</v>
      </c>
      <c r="M697" s="5">
        <v>132</v>
      </c>
      <c r="N697" s="5">
        <v>53</v>
      </c>
      <c r="O697" s="13">
        <v>30.800000000000004</v>
      </c>
      <c r="P697" s="13">
        <v>22</v>
      </c>
    </row>
    <row r="698" spans="1:16">
      <c r="A698" s="1" t="s">
        <v>709</v>
      </c>
      <c r="B698" s="1" t="s">
        <v>642</v>
      </c>
      <c r="C698" s="1">
        <v>1994</v>
      </c>
      <c r="D698" s="1" t="s">
        <v>1714</v>
      </c>
      <c r="E698" s="17">
        <v>34445</v>
      </c>
      <c r="F698" s="18" t="str">
        <f t="shared" si="10"/>
        <v>PEPE1994_Abril</v>
      </c>
      <c r="G698" s="1" t="s">
        <v>1605</v>
      </c>
      <c r="H698" s="3">
        <v>1.9766666666666668</v>
      </c>
      <c r="I698" s="3">
        <v>-78.533055555555549</v>
      </c>
      <c r="J698" s="12">
        <v>25</v>
      </c>
      <c r="K698" s="12">
        <v>29.3</v>
      </c>
      <c r="L698" s="4">
        <v>1063.8297872340427</v>
      </c>
      <c r="M698" s="5">
        <v>121</v>
      </c>
      <c r="N698" s="5">
        <v>97</v>
      </c>
      <c r="O698" s="13">
        <v>108.72</v>
      </c>
      <c r="P698" s="13">
        <v>80.03</v>
      </c>
    </row>
    <row r="699" spans="1:16">
      <c r="A699" s="1" t="s">
        <v>710</v>
      </c>
      <c r="B699" s="1" t="s">
        <v>642</v>
      </c>
      <c r="C699" s="1">
        <v>1994</v>
      </c>
      <c r="D699" s="1" t="s">
        <v>1714</v>
      </c>
      <c r="E699" s="17">
        <v>34445</v>
      </c>
      <c r="F699" s="18" t="str">
        <f t="shared" si="10"/>
        <v>PEPE1994_Abril</v>
      </c>
      <c r="G699" s="1" t="s">
        <v>1606</v>
      </c>
      <c r="H699" s="3">
        <v>1.8836111111111111</v>
      </c>
      <c r="I699" s="3">
        <v>-78.588055555555556</v>
      </c>
      <c r="J699" s="12">
        <v>27</v>
      </c>
      <c r="K699" s="12">
        <v>29.4</v>
      </c>
      <c r="L699" s="4">
        <v>235.94180102241447</v>
      </c>
      <c r="M699" s="5">
        <v>299</v>
      </c>
      <c r="N699" s="5">
        <v>83</v>
      </c>
      <c r="O699" s="13">
        <v>227.4</v>
      </c>
      <c r="P699" s="13">
        <v>53.4</v>
      </c>
    </row>
    <row r="700" spans="1:16">
      <c r="A700" s="1" t="s">
        <v>711</v>
      </c>
      <c r="B700" s="1" t="s">
        <v>642</v>
      </c>
      <c r="C700" s="1">
        <v>1994</v>
      </c>
      <c r="D700" s="1" t="s">
        <v>1714</v>
      </c>
      <c r="E700" s="17">
        <v>34446</v>
      </c>
      <c r="F700" s="18" t="str">
        <f t="shared" si="10"/>
        <v>PEPE1994_Abril</v>
      </c>
      <c r="G700" s="1" t="s">
        <v>1627</v>
      </c>
      <c r="H700" s="3">
        <v>1.8536111111111111</v>
      </c>
      <c r="I700" s="3">
        <v>-78.569999999999993</v>
      </c>
      <c r="J700" s="12">
        <v>22</v>
      </c>
      <c r="K700" s="12">
        <v>29.7</v>
      </c>
      <c r="L700" s="4">
        <v>2766.3331371394943</v>
      </c>
      <c r="M700" s="5">
        <v>36</v>
      </c>
      <c r="N700" s="5">
        <v>10</v>
      </c>
      <c r="O700" s="13">
        <v>30.709999999999997</v>
      </c>
      <c r="P700" s="13">
        <v>5.81</v>
      </c>
    </row>
    <row r="701" spans="1:16">
      <c r="A701" s="1" t="s">
        <v>712</v>
      </c>
      <c r="B701" s="1" t="s">
        <v>642</v>
      </c>
      <c r="C701" s="1">
        <v>1994</v>
      </c>
      <c r="D701" s="1" t="s">
        <v>1714</v>
      </c>
      <c r="E701" s="17">
        <v>34446</v>
      </c>
      <c r="F701" s="18" t="str">
        <f t="shared" si="10"/>
        <v>PEPE1994_Abril</v>
      </c>
      <c r="G701" s="1" t="s">
        <v>1628</v>
      </c>
      <c r="H701" s="3">
        <v>1.8038888888888889</v>
      </c>
      <c r="I701" s="3">
        <v>-78.600833333333327</v>
      </c>
      <c r="J701" s="12">
        <v>17</v>
      </c>
      <c r="K701" s="12">
        <v>30</v>
      </c>
      <c r="L701" s="4">
        <v>187.26591760299627</v>
      </c>
      <c r="M701" s="5">
        <v>0</v>
      </c>
      <c r="N701" s="5">
        <v>33</v>
      </c>
      <c r="O701" s="1">
        <v>0</v>
      </c>
      <c r="P701" s="13">
        <v>24.9</v>
      </c>
    </row>
    <row r="702" spans="1:16">
      <c r="A702" s="1" t="s">
        <v>713</v>
      </c>
      <c r="B702" s="1" t="s">
        <v>642</v>
      </c>
      <c r="C702" s="1">
        <v>1994</v>
      </c>
      <c r="D702" s="1" t="s">
        <v>1714</v>
      </c>
      <c r="E702" s="17">
        <v>34445</v>
      </c>
      <c r="F702" s="18" t="str">
        <f t="shared" si="10"/>
        <v>PEPE1994_Abril</v>
      </c>
      <c r="G702" s="1" t="s">
        <v>1607</v>
      </c>
      <c r="H702" s="3">
        <v>1.8486111111111112</v>
      </c>
      <c r="I702" s="3">
        <v>-78.707777777777778</v>
      </c>
      <c r="J702" s="12">
        <v>29</v>
      </c>
      <c r="K702" s="12">
        <v>27.95</v>
      </c>
      <c r="L702" s="4">
        <v>1099.5</v>
      </c>
      <c r="M702" s="5">
        <v>15</v>
      </c>
      <c r="N702" s="5">
        <v>518</v>
      </c>
      <c r="O702" s="13">
        <v>0</v>
      </c>
      <c r="P702" s="13">
        <v>399.33</v>
      </c>
    </row>
    <row r="703" spans="1:16">
      <c r="A703" s="1" t="s">
        <v>714</v>
      </c>
      <c r="B703" s="1" t="s">
        <v>642</v>
      </c>
      <c r="C703" s="1">
        <v>1994</v>
      </c>
      <c r="D703" s="1" t="s">
        <v>1714</v>
      </c>
      <c r="E703" s="17">
        <v>34445</v>
      </c>
      <c r="F703" s="18" t="str">
        <f t="shared" si="10"/>
        <v>PEPE1994_Abril</v>
      </c>
      <c r="G703" s="1" t="s">
        <v>1471</v>
      </c>
      <c r="H703" s="3">
        <v>2.0027777777777778</v>
      </c>
      <c r="I703" s="3">
        <v>-78.6875</v>
      </c>
      <c r="J703" s="12">
        <v>28</v>
      </c>
      <c r="K703" s="12">
        <v>28.4</v>
      </c>
      <c r="L703" s="4">
        <v>668.25775656324583</v>
      </c>
      <c r="M703" s="5">
        <v>718</v>
      </c>
      <c r="N703" s="5">
        <v>176</v>
      </c>
      <c r="O703" s="13">
        <v>315.7</v>
      </c>
      <c r="P703" s="13">
        <v>155.79999999999998</v>
      </c>
    </row>
    <row r="704" spans="1:16">
      <c r="A704" s="1" t="s">
        <v>715</v>
      </c>
      <c r="B704" s="1" t="s">
        <v>642</v>
      </c>
      <c r="C704" s="1">
        <v>1994</v>
      </c>
      <c r="D704" s="1" t="s">
        <v>1714</v>
      </c>
      <c r="E704" s="17">
        <v>34445</v>
      </c>
      <c r="F704" s="18" t="str">
        <f t="shared" si="10"/>
        <v>PEPE1994_Abril</v>
      </c>
      <c r="G704" s="1" t="s">
        <v>1472</v>
      </c>
      <c r="H704" s="3">
        <v>2.0233333333333334</v>
      </c>
      <c r="I704" s="3">
        <v>-78.75888888888889</v>
      </c>
      <c r="J704" s="12">
        <v>27</v>
      </c>
      <c r="K704" s="12">
        <v>29.3</v>
      </c>
      <c r="L704" s="4">
        <v>1396.3480128893661</v>
      </c>
      <c r="M704" s="5">
        <v>2237</v>
      </c>
      <c r="N704" s="5">
        <v>2592</v>
      </c>
      <c r="O704" s="13">
        <v>395.56</v>
      </c>
      <c r="P704" s="13">
        <v>1241.24</v>
      </c>
    </row>
    <row r="705" spans="1:16">
      <c r="A705" s="1" t="s">
        <v>716</v>
      </c>
      <c r="B705" s="1" t="s">
        <v>642</v>
      </c>
      <c r="C705" s="1">
        <v>1994</v>
      </c>
      <c r="D705" s="1" t="s">
        <v>1714</v>
      </c>
      <c r="E705" s="17">
        <v>34445</v>
      </c>
      <c r="F705" s="18" t="str">
        <f t="shared" si="10"/>
        <v>PEPE1994_Abril</v>
      </c>
      <c r="G705" s="1" t="s">
        <v>1473</v>
      </c>
      <c r="H705" s="3">
        <v>2.0002777777777778</v>
      </c>
      <c r="I705" s="3">
        <v>-78.841666666666669</v>
      </c>
      <c r="J705" s="12">
        <v>32</v>
      </c>
      <c r="K705" s="12">
        <v>28.2</v>
      </c>
      <c r="L705" s="4">
        <v>728.24837102338063</v>
      </c>
      <c r="M705" s="5">
        <v>51</v>
      </c>
      <c r="N705" s="5">
        <v>135</v>
      </c>
      <c r="O705" s="13">
        <v>25.72</v>
      </c>
      <c r="P705" s="13">
        <v>32.15</v>
      </c>
    </row>
    <row r="706" spans="1:16">
      <c r="A706" s="1" t="s">
        <v>717</v>
      </c>
      <c r="B706" s="1" t="s">
        <v>642</v>
      </c>
      <c r="C706" s="1">
        <v>1994</v>
      </c>
      <c r="D706" s="1" t="s">
        <v>1714</v>
      </c>
      <c r="E706" s="17">
        <v>34446</v>
      </c>
      <c r="F706" s="18" t="str">
        <f t="shared" si="10"/>
        <v>PEPE1994_Abril</v>
      </c>
      <c r="G706" s="1" t="s">
        <v>1477</v>
      </c>
      <c r="H706" s="3">
        <v>1.85</v>
      </c>
      <c r="I706" s="3">
        <v>-78.757499999999993</v>
      </c>
      <c r="J706" s="12">
        <v>30</v>
      </c>
      <c r="K706" s="12">
        <v>28.7</v>
      </c>
      <c r="L706" s="4">
        <v>2315.4848046309694</v>
      </c>
      <c r="M706" s="5">
        <v>66</v>
      </c>
      <c r="N706" s="5">
        <v>192</v>
      </c>
      <c r="O706" s="13">
        <v>2.5299999999999998</v>
      </c>
      <c r="P706" s="13">
        <v>78.429999999999993</v>
      </c>
    </row>
    <row r="707" spans="1:16">
      <c r="A707" s="1" t="s">
        <v>718</v>
      </c>
      <c r="B707" s="1" t="s">
        <v>642</v>
      </c>
      <c r="C707" s="1">
        <v>1994</v>
      </c>
      <c r="D707" s="1" t="s">
        <v>1714</v>
      </c>
      <c r="E707" s="17">
        <v>34446</v>
      </c>
      <c r="F707" s="18" t="str">
        <f t="shared" ref="F707:F770" si="11">"PEPE"&amp;C707&amp;"_"&amp;D707</f>
        <v>PEPE1994_Abril</v>
      </c>
      <c r="G707" s="1" t="s">
        <v>1478</v>
      </c>
      <c r="H707" s="3">
        <v>1.8336111111111113</v>
      </c>
      <c r="I707" s="3">
        <v>-78.822499999999991</v>
      </c>
      <c r="J707" s="12">
        <v>30</v>
      </c>
      <c r="K707" s="12">
        <v>29.3</v>
      </c>
      <c r="L707" s="4">
        <v>472.14353163361665</v>
      </c>
      <c r="M707" s="5">
        <v>262</v>
      </c>
      <c r="N707" s="5">
        <v>64</v>
      </c>
      <c r="O707" s="13">
        <v>7.48</v>
      </c>
      <c r="P707" s="13">
        <v>18.700000000000003</v>
      </c>
    </row>
    <row r="708" spans="1:16">
      <c r="A708" s="1" t="s">
        <v>719</v>
      </c>
      <c r="B708" s="1" t="s">
        <v>642</v>
      </c>
      <c r="C708" s="1">
        <v>1994</v>
      </c>
      <c r="D708" s="1" t="s">
        <v>1714</v>
      </c>
      <c r="E708" s="17">
        <v>34446</v>
      </c>
      <c r="F708" s="18" t="str">
        <f t="shared" si="11"/>
        <v>PEPE1994_Abril</v>
      </c>
      <c r="G708" s="1" t="s">
        <v>1576</v>
      </c>
      <c r="H708" s="3">
        <v>1.6772222222222222</v>
      </c>
      <c r="I708" s="3">
        <v>-79.016666666666666</v>
      </c>
      <c r="J708" s="12">
        <v>10</v>
      </c>
      <c r="K708" s="12">
        <v>26.9</v>
      </c>
      <c r="L708" s="4">
        <v>640.3013182674199</v>
      </c>
      <c r="M708" s="5">
        <v>740</v>
      </c>
      <c r="N708" s="5">
        <v>527</v>
      </c>
      <c r="O708" s="13">
        <v>440.21999999999997</v>
      </c>
      <c r="P708" s="13">
        <v>420.21</v>
      </c>
    </row>
    <row r="709" spans="1:16">
      <c r="A709" s="1" t="s">
        <v>720</v>
      </c>
      <c r="B709" s="1" t="s">
        <v>642</v>
      </c>
      <c r="C709" s="1">
        <v>1994</v>
      </c>
      <c r="D709" s="1" t="s">
        <v>1714</v>
      </c>
      <c r="E709" s="17">
        <v>34446</v>
      </c>
      <c r="F709" s="18" t="str">
        <f t="shared" si="11"/>
        <v>PEPE1994_Abril</v>
      </c>
      <c r="G709" s="1" t="s">
        <v>1630</v>
      </c>
      <c r="H709" s="3">
        <v>1.5130555555555556</v>
      </c>
      <c r="I709" s="3">
        <v>-78.926944444444445</v>
      </c>
      <c r="J709" s="12">
        <v>18</v>
      </c>
      <c r="K709" s="12">
        <v>27.9</v>
      </c>
      <c r="L709" s="4">
        <v>365.29680365296804</v>
      </c>
      <c r="M709" s="5">
        <v>68</v>
      </c>
      <c r="N709" s="5">
        <v>225</v>
      </c>
      <c r="O709" s="13">
        <v>0</v>
      </c>
      <c r="P709" s="13">
        <v>220.89</v>
      </c>
    </row>
    <row r="710" spans="1:16">
      <c r="A710" s="1" t="s">
        <v>721</v>
      </c>
      <c r="B710" s="1" t="s">
        <v>642</v>
      </c>
      <c r="C710" s="1">
        <v>1994</v>
      </c>
      <c r="D710" s="1" t="s">
        <v>1714</v>
      </c>
      <c r="E710" s="17">
        <v>34446</v>
      </c>
      <c r="F710" s="18" t="str">
        <f t="shared" si="11"/>
        <v>PEPE1994_Abril</v>
      </c>
      <c r="G710" s="1" t="s">
        <v>1487</v>
      </c>
      <c r="H710" s="3">
        <v>1.5097222222222222</v>
      </c>
      <c r="I710" s="3">
        <v>-78.963055555555556</v>
      </c>
      <c r="J710" s="12">
        <v>28</v>
      </c>
      <c r="K710" s="12">
        <v>28.4</v>
      </c>
      <c r="L710" s="4">
        <v>430.29259896729781</v>
      </c>
      <c r="M710" s="5">
        <v>120</v>
      </c>
      <c r="N710" s="5">
        <v>247</v>
      </c>
      <c r="O710" s="13">
        <v>26</v>
      </c>
      <c r="P710" s="13">
        <v>214.5</v>
      </c>
    </row>
    <row r="711" spans="1:16">
      <c r="A711" s="1" t="s">
        <v>722</v>
      </c>
      <c r="B711" s="1" t="s">
        <v>642</v>
      </c>
      <c r="C711" s="1">
        <v>1994</v>
      </c>
      <c r="D711" s="1" t="s">
        <v>1714</v>
      </c>
      <c r="E711" s="17">
        <v>34446</v>
      </c>
      <c r="F711" s="18" t="str">
        <f t="shared" si="11"/>
        <v>PEPE1994_Abril</v>
      </c>
      <c r="G711" s="1" t="s">
        <v>1488</v>
      </c>
      <c r="H711" s="3">
        <v>1.5102777777777778</v>
      </c>
      <c r="I711" s="3">
        <v>-79.047499999999999</v>
      </c>
      <c r="J711" s="12">
        <v>28</v>
      </c>
      <c r="K711" s="12">
        <v>28</v>
      </c>
      <c r="L711" s="4">
        <v>747.86324786324792</v>
      </c>
      <c r="M711" s="5">
        <v>98</v>
      </c>
      <c r="N711" s="5">
        <v>713</v>
      </c>
      <c r="O711" s="13">
        <v>0</v>
      </c>
      <c r="P711" s="13">
        <v>391.44</v>
      </c>
    </row>
    <row r="712" spans="1:16">
      <c r="A712" s="1" t="s">
        <v>723</v>
      </c>
      <c r="B712" s="1" t="s">
        <v>642</v>
      </c>
      <c r="C712" s="1">
        <v>1994</v>
      </c>
      <c r="D712" s="1" t="s">
        <v>1714</v>
      </c>
      <c r="E712" s="17">
        <v>34447</v>
      </c>
      <c r="F712" s="18" t="str">
        <f t="shared" si="11"/>
        <v>PEPE1994_Abril</v>
      </c>
      <c r="G712" s="1" t="s">
        <v>1632</v>
      </c>
      <c r="H712" s="3">
        <v>2.9672222222222224</v>
      </c>
      <c r="I712" s="3">
        <v>-78.176388888888894</v>
      </c>
      <c r="J712" s="12">
        <v>32</v>
      </c>
      <c r="K712" s="12">
        <v>27.2</v>
      </c>
      <c r="L712" s="4">
        <v>591.71597633136093</v>
      </c>
      <c r="M712" s="5">
        <v>2380</v>
      </c>
      <c r="N712" s="5">
        <v>1061</v>
      </c>
      <c r="O712" s="13">
        <v>376.64000000000004</v>
      </c>
      <c r="P712" s="13">
        <v>838.88</v>
      </c>
    </row>
    <row r="713" spans="1:16">
      <c r="A713" s="1" t="s">
        <v>724</v>
      </c>
      <c r="B713" s="1" t="s">
        <v>642</v>
      </c>
      <c r="C713" s="1">
        <v>1994</v>
      </c>
      <c r="D713" s="1" t="s">
        <v>1714</v>
      </c>
      <c r="E713" s="17">
        <v>34447</v>
      </c>
      <c r="F713" s="18" t="str">
        <f t="shared" si="11"/>
        <v>PEPE1994_Abril</v>
      </c>
      <c r="G713" s="1" t="s">
        <v>1609</v>
      </c>
      <c r="H713" s="3">
        <v>2.9913888888888889</v>
      </c>
      <c r="I713" s="3">
        <v>-78.166944444444454</v>
      </c>
      <c r="J713" s="12">
        <v>33</v>
      </c>
      <c r="K713" s="12">
        <v>27.1</v>
      </c>
      <c r="L713" s="4">
        <v>320.67094227923042</v>
      </c>
      <c r="M713" s="5">
        <v>4928</v>
      </c>
      <c r="N713" s="5">
        <v>525</v>
      </c>
      <c r="O713" s="13">
        <v>14.58</v>
      </c>
      <c r="P713" s="13">
        <v>379.08</v>
      </c>
    </row>
    <row r="714" spans="1:16">
      <c r="A714" s="1" t="s">
        <v>725</v>
      </c>
      <c r="B714" s="1" t="s">
        <v>642</v>
      </c>
      <c r="C714" s="1">
        <v>1994</v>
      </c>
      <c r="D714" s="1" t="s">
        <v>1714</v>
      </c>
      <c r="E714" s="17">
        <v>34447</v>
      </c>
      <c r="F714" s="18" t="str">
        <f t="shared" si="11"/>
        <v>PEPE1994_Abril</v>
      </c>
      <c r="G714" s="1" t="s">
        <v>1610</v>
      </c>
      <c r="H714" s="3">
        <v>2.9691666666666667</v>
      </c>
      <c r="I714" s="3">
        <v>-78.175833333333344</v>
      </c>
      <c r="J714" s="12">
        <v>30</v>
      </c>
      <c r="K714" s="12">
        <v>27.2</v>
      </c>
      <c r="L714" s="4">
        <v>837.98882681564248</v>
      </c>
      <c r="M714" s="5">
        <v>267</v>
      </c>
      <c r="N714" s="5">
        <v>305</v>
      </c>
      <c r="O714" s="13">
        <v>29.72</v>
      </c>
      <c r="P714" s="13">
        <v>66.87</v>
      </c>
    </row>
    <row r="715" spans="1:16">
      <c r="A715" s="1" t="s">
        <v>726</v>
      </c>
      <c r="B715" s="1" t="s">
        <v>642</v>
      </c>
      <c r="C715" s="1">
        <v>1994</v>
      </c>
      <c r="D715" s="1" t="s">
        <v>1714</v>
      </c>
      <c r="E715" s="17">
        <v>34447</v>
      </c>
      <c r="F715" s="18" t="str">
        <f t="shared" si="11"/>
        <v>PEPE1994_Abril</v>
      </c>
      <c r="G715" s="1" t="s">
        <v>1611</v>
      </c>
      <c r="H715" s="3">
        <v>2.9952777777777779</v>
      </c>
      <c r="I715" s="3">
        <v>-78.166666666666671</v>
      </c>
      <c r="J715" s="12">
        <v>31</v>
      </c>
      <c r="K715" s="12">
        <v>27.6</v>
      </c>
      <c r="L715" s="4">
        <v>467.60187040748161</v>
      </c>
      <c r="M715" s="5">
        <v>1056</v>
      </c>
      <c r="N715" s="5">
        <v>269</v>
      </c>
      <c r="O715" s="13">
        <v>69.72</v>
      </c>
      <c r="P715" s="13">
        <v>89.640000000000015</v>
      </c>
    </row>
    <row r="716" spans="1:16">
      <c r="A716" s="1" t="s">
        <v>727</v>
      </c>
      <c r="B716" s="1" t="s">
        <v>642</v>
      </c>
      <c r="C716" s="1">
        <v>1994</v>
      </c>
      <c r="D716" s="1" t="s">
        <v>1714</v>
      </c>
      <c r="E716" s="17">
        <v>34447</v>
      </c>
      <c r="F716" s="18" t="str">
        <f t="shared" si="11"/>
        <v>PEPE1994_Abril</v>
      </c>
      <c r="G716" s="1" t="s">
        <v>1633</v>
      </c>
      <c r="H716" s="3">
        <v>3.0061111111111112</v>
      </c>
      <c r="I716" s="3">
        <v>-78.194166666666675</v>
      </c>
      <c r="J716" s="12">
        <v>30</v>
      </c>
      <c r="K716" s="12">
        <v>28.3</v>
      </c>
      <c r="L716" s="4">
        <v>1119.0233977619532</v>
      </c>
      <c r="M716" s="5">
        <v>343</v>
      </c>
      <c r="N716" s="5">
        <v>214</v>
      </c>
      <c r="O716" s="13">
        <v>0</v>
      </c>
      <c r="P716" s="13">
        <v>128.64000000000001</v>
      </c>
    </row>
    <row r="717" spans="1:16">
      <c r="A717" s="1" t="s">
        <v>728</v>
      </c>
      <c r="B717" s="1" t="s">
        <v>642</v>
      </c>
      <c r="C717" s="1">
        <v>1994</v>
      </c>
      <c r="D717" s="1" t="s">
        <v>1714</v>
      </c>
      <c r="E717" s="17">
        <v>34447</v>
      </c>
      <c r="F717" s="18" t="str">
        <f t="shared" si="11"/>
        <v>PEPE1994_Abril</v>
      </c>
      <c r="G717" s="1" t="s">
        <v>1634</v>
      </c>
      <c r="H717" s="3">
        <v>2.9519444444444445</v>
      </c>
      <c r="I717" s="3">
        <v>-78.213611111111121</v>
      </c>
      <c r="J717" s="12">
        <v>29</v>
      </c>
      <c r="K717" s="12">
        <v>27.9</v>
      </c>
      <c r="L717" s="4">
        <v>391.64490861618799</v>
      </c>
      <c r="M717" s="5">
        <v>497</v>
      </c>
      <c r="N717" s="5">
        <v>166</v>
      </c>
      <c r="O717" s="13">
        <v>0</v>
      </c>
      <c r="P717" s="13">
        <v>46.41</v>
      </c>
    </row>
    <row r="718" spans="1:16">
      <c r="A718" s="1" t="s">
        <v>729</v>
      </c>
      <c r="B718" s="1" t="s">
        <v>642</v>
      </c>
      <c r="C718" s="1">
        <v>1994</v>
      </c>
      <c r="D718" s="1" t="s">
        <v>1714</v>
      </c>
      <c r="E718" s="17">
        <v>34447</v>
      </c>
      <c r="F718" s="18" t="str">
        <f t="shared" si="11"/>
        <v>PEPE1994_Abril</v>
      </c>
      <c r="G718" s="1" t="s">
        <v>1614</v>
      </c>
      <c r="H718" s="3">
        <v>2.9338888888888888</v>
      </c>
      <c r="I718" s="3">
        <v>-78.217500000000001</v>
      </c>
      <c r="J718" s="12">
        <v>31</v>
      </c>
      <c r="K718" s="12">
        <v>27.3</v>
      </c>
      <c r="L718" s="4">
        <v>3022.9746070133015</v>
      </c>
      <c r="M718" s="5">
        <v>1378</v>
      </c>
      <c r="N718" s="5">
        <v>251</v>
      </c>
      <c r="O718" s="13">
        <v>0</v>
      </c>
      <c r="P718" s="13">
        <v>167</v>
      </c>
    </row>
    <row r="719" spans="1:16">
      <c r="A719" s="1" t="s">
        <v>730</v>
      </c>
      <c r="B719" s="1" t="s">
        <v>731</v>
      </c>
      <c r="C719" s="1">
        <v>1994</v>
      </c>
      <c r="D719" s="1" t="s">
        <v>1715</v>
      </c>
      <c r="E719" s="17">
        <v>34532</v>
      </c>
      <c r="F719" s="18" t="str">
        <f t="shared" si="11"/>
        <v>PEPE1994_Julio</v>
      </c>
      <c r="G719" s="1" t="s">
        <v>1341</v>
      </c>
      <c r="H719" s="3">
        <v>6.666666666666667</v>
      </c>
      <c r="I719" s="3">
        <v>-77.475000000000009</v>
      </c>
      <c r="J719" s="12">
        <v>27</v>
      </c>
      <c r="K719" s="12">
        <v>29.2</v>
      </c>
      <c r="L719" s="4">
        <v>38.34808259587021</v>
      </c>
      <c r="M719" s="5">
        <v>20</v>
      </c>
      <c r="N719" s="5">
        <v>79</v>
      </c>
      <c r="O719" s="13">
        <v>0</v>
      </c>
      <c r="P719" s="13">
        <v>0</v>
      </c>
    </row>
    <row r="720" spans="1:16">
      <c r="A720" s="1" t="s">
        <v>732</v>
      </c>
      <c r="B720" s="1" t="s">
        <v>731</v>
      </c>
      <c r="C720" s="1">
        <v>1994</v>
      </c>
      <c r="D720" s="1" t="s">
        <v>1715</v>
      </c>
      <c r="E720" s="17">
        <v>34533</v>
      </c>
      <c r="F720" s="18" t="str">
        <f t="shared" si="11"/>
        <v>PEPE1994_Julio</v>
      </c>
      <c r="G720" s="1" t="s">
        <v>1346</v>
      </c>
      <c r="H720" s="3">
        <v>6.341388888888889</v>
      </c>
      <c r="I720" s="3">
        <v>-77.385833333333338</v>
      </c>
      <c r="J720" s="12">
        <v>28</v>
      </c>
      <c r="K720" s="12">
        <v>28.2</v>
      </c>
      <c r="L720" s="4">
        <v>269.86506746626685</v>
      </c>
      <c r="M720" s="5">
        <v>12</v>
      </c>
      <c r="N720" s="5">
        <v>164</v>
      </c>
      <c r="O720" s="13">
        <v>0</v>
      </c>
      <c r="P720" s="13">
        <v>4</v>
      </c>
    </row>
    <row r="721" spans="1:16">
      <c r="A721" s="1" t="s">
        <v>733</v>
      </c>
      <c r="B721" s="1" t="s">
        <v>731</v>
      </c>
      <c r="C721" s="1">
        <v>1994</v>
      </c>
      <c r="D721" s="1" t="s">
        <v>1715</v>
      </c>
      <c r="E721" s="17">
        <v>34533</v>
      </c>
      <c r="F721" s="18" t="str">
        <f t="shared" si="11"/>
        <v>PEPE1994_Julio</v>
      </c>
      <c r="G721" s="1" t="s">
        <v>1539</v>
      </c>
      <c r="H721" s="3">
        <v>6.333333333333333</v>
      </c>
      <c r="I721" s="3">
        <v>-77.344722222222217</v>
      </c>
      <c r="J721" s="12">
        <v>30</v>
      </c>
      <c r="K721" s="12">
        <v>28.8</v>
      </c>
      <c r="L721" s="4">
        <v>206.73813169984686</v>
      </c>
      <c r="M721" s="5">
        <v>123</v>
      </c>
      <c r="N721" s="5">
        <v>378</v>
      </c>
      <c r="O721" s="13">
        <v>0</v>
      </c>
      <c r="P721" s="13">
        <v>8.8000000000000007</v>
      </c>
    </row>
    <row r="722" spans="1:16">
      <c r="A722" s="1" t="s">
        <v>734</v>
      </c>
      <c r="B722" s="1" t="s">
        <v>731</v>
      </c>
      <c r="C722" s="1">
        <v>1994</v>
      </c>
      <c r="D722" s="1" t="s">
        <v>1715</v>
      </c>
      <c r="E722" s="17">
        <v>34533</v>
      </c>
      <c r="F722" s="18" t="str">
        <f t="shared" si="11"/>
        <v>PEPE1994_Julio</v>
      </c>
      <c r="G722" s="1" t="s">
        <v>1500</v>
      </c>
      <c r="H722" s="3">
        <v>6.1680555555555561</v>
      </c>
      <c r="I722" s="3">
        <v>-77.491944444444442</v>
      </c>
      <c r="J722" s="12">
        <v>27</v>
      </c>
      <c r="K722" s="12">
        <v>28.8</v>
      </c>
      <c r="L722" s="4">
        <v>227.27272727272728</v>
      </c>
      <c r="M722" s="5">
        <v>460</v>
      </c>
      <c r="N722" s="5">
        <v>1146</v>
      </c>
      <c r="O722" s="13">
        <v>17.36</v>
      </c>
      <c r="P722" s="13">
        <v>47.739999999999995</v>
      </c>
    </row>
    <row r="723" spans="1:16">
      <c r="A723" s="1" t="s">
        <v>735</v>
      </c>
      <c r="B723" s="1" t="s">
        <v>731</v>
      </c>
      <c r="C723" s="1">
        <v>1994</v>
      </c>
      <c r="D723" s="1" t="s">
        <v>1715</v>
      </c>
      <c r="E723" s="17">
        <v>34533</v>
      </c>
      <c r="F723" s="18" t="str">
        <f t="shared" si="11"/>
        <v>PEPE1994_Julio</v>
      </c>
      <c r="G723" s="1" t="s">
        <v>1615</v>
      </c>
      <c r="H723" s="3">
        <v>6</v>
      </c>
      <c r="I723" s="3">
        <v>-77.351944444444442</v>
      </c>
      <c r="J723" s="12">
        <v>25</v>
      </c>
      <c r="K723" s="12">
        <v>28.9</v>
      </c>
      <c r="L723" s="4">
        <v>197.56838905775078</v>
      </c>
      <c r="M723" s="5">
        <v>19</v>
      </c>
      <c r="N723" s="5">
        <v>160</v>
      </c>
      <c r="O723" s="13">
        <v>11.399999999999999</v>
      </c>
      <c r="P723" s="13">
        <v>3.8</v>
      </c>
    </row>
    <row r="724" spans="1:16">
      <c r="A724" s="1" t="s">
        <v>736</v>
      </c>
      <c r="B724" s="1" t="s">
        <v>731</v>
      </c>
      <c r="C724" s="1">
        <v>1994</v>
      </c>
      <c r="D724" s="1" t="s">
        <v>1715</v>
      </c>
      <c r="E724" s="17">
        <v>34533</v>
      </c>
      <c r="F724" s="18" t="str">
        <f t="shared" si="11"/>
        <v>PEPE1994_Julio</v>
      </c>
      <c r="G724" s="1" t="s">
        <v>1541</v>
      </c>
      <c r="H724" s="3">
        <v>6.0019444444444447</v>
      </c>
      <c r="I724" s="3">
        <v>-77.534166666666664</v>
      </c>
      <c r="J724" s="12">
        <v>27</v>
      </c>
      <c r="K724" s="12">
        <v>28.5</v>
      </c>
      <c r="L724" s="4">
        <v>183.93030009680544</v>
      </c>
      <c r="M724" s="5">
        <v>32</v>
      </c>
      <c r="N724" s="5">
        <v>364</v>
      </c>
      <c r="O724" s="13">
        <v>0</v>
      </c>
      <c r="P724" s="13">
        <v>4</v>
      </c>
    </row>
    <row r="725" spans="1:16">
      <c r="A725" s="1" t="s">
        <v>737</v>
      </c>
      <c r="B725" s="1" t="s">
        <v>731</v>
      </c>
      <c r="C725" s="1">
        <v>1994</v>
      </c>
      <c r="D725" s="1" t="s">
        <v>1715</v>
      </c>
      <c r="E725" s="17">
        <v>34533</v>
      </c>
      <c r="F725" s="18" t="str">
        <f t="shared" si="11"/>
        <v>PEPE1994_Julio</v>
      </c>
      <c r="G725" s="1" t="s">
        <v>1356</v>
      </c>
      <c r="H725" s="3">
        <v>5.833333333333333</v>
      </c>
      <c r="I725" s="3">
        <v>-77.30916666666667</v>
      </c>
      <c r="J725" s="12">
        <v>30</v>
      </c>
      <c r="K725" s="12">
        <v>29</v>
      </c>
      <c r="L725" s="4">
        <v>150.65913370998118</v>
      </c>
      <c r="M725" s="5">
        <v>524</v>
      </c>
      <c r="N725" s="5">
        <v>646</v>
      </c>
      <c r="O725" s="13">
        <v>482.59999999999997</v>
      </c>
      <c r="P725" s="13">
        <v>231.79999999999998</v>
      </c>
    </row>
    <row r="726" spans="1:16">
      <c r="A726" s="1" t="s">
        <v>738</v>
      </c>
      <c r="B726" s="1" t="s">
        <v>731</v>
      </c>
      <c r="C726" s="1">
        <v>1994</v>
      </c>
      <c r="D726" s="1" t="s">
        <v>1715</v>
      </c>
      <c r="E726" s="17">
        <v>34533</v>
      </c>
      <c r="F726" s="18" t="str">
        <f t="shared" si="11"/>
        <v>PEPE1994_Julio</v>
      </c>
      <c r="G726" s="1" t="s">
        <v>1357</v>
      </c>
      <c r="H726" s="3">
        <v>5.833333333333333</v>
      </c>
      <c r="I726" s="3">
        <v>-77.385833333333338</v>
      </c>
      <c r="J726" s="12">
        <v>29</v>
      </c>
      <c r="K726" s="12">
        <v>28.6</v>
      </c>
      <c r="L726" s="4">
        <v>258.86524822695037</v>
      </c>
      <c r="M726" s="5">
        <v>739</v>
      </c>
      <c r="N726" s="5">
        <v>1294</v>
      </c>
      <c r="O726" s="13">
        <v>69.300000000000011</v>
      </c>
      <c r="P726" s="13">
        <v>115.5</v>
      </c>
    </row>
    <row r="727" spans="1:16">
      <c r="A727" s="1" t="s">
        <v>739</v>
      </c>
      <c r="B727" s="1" t="s">
        <v>731</v>
      </c>
      <c r="C727" s="1">
        <v>1994</v>
      </c>
      <c r="D727" s="1" t="s">
        <v>1715</v>
      </c>
      <c r="E727" s="17">
        <v>34533</v>
      </c>
      <c r="F727" s="18" t="str">
        <f t="shared" si="11"/>
        <v>PEPE1994_Julio</v>
      </c>
      <c r="G727" s="1" t="s">
        <v>1504</v>
      </c>
      <c r="H727" s="3">
        <v>5.666666666666667</v>
      </c>
      <c r="I727" s="3">
        <v>-77.339166666666657</v>
      </c>
      <c r="J727" s="12">
        <v>30</v>
      </c>
      <c r="K727" s="12">
        <v>28.3</v>
      </c>
      <c r="L727" s="4">
        <v>267.85714285714289</v>
      </c>
      <c r="M727" s="5">
        <v>221</v>
      </c>
      <c r="N727" s="5">
        <v>1455</v>
      </c>
      <c r="O727" s="13">
        <v>44.099999999999994</v>
      </c>
      <c r="P727" s="13">
        <v>102.89999999999999</v>
      </c>
    </row>
    <row r="728" spans="1:16">
      <c r="A728" s="1" t="s">
        <v>740</v>
      </c>
      <c r="B728" s="1" t="s">
        <v>731</v>
      </c>
      <c r="C728" s="1">
        <v>1994</v>
      </c>
      <c r="D728" s="1" t="s">
        <v>1715</v>
      </c>
      <c r="E728" s="17">
        <v>34533</v>
      </c>
      <c r="F728" s="18" t="str">
        <f t="shared" si="11"/>
        <v>PEPE1994_Julio</v>
      </c>
      <c r="G728" s="1" t="s">
        <v>1505</v>
      </c>
      <c r="H728" s="3">
        <v>5.666666666666667</v>
      </c>
      <c r="I728" s="3">
        <v>-77.423611111111114</v>
      </c>
      <c r="J728" s="12">
        <v>30</v>
      </c>
      <c r="K728" s="12">
        <v>28.2</v>
      </c>
      <c r="L728" s="4">
        <v>191.93857965451056</v>
      </c>
      <c r="M728" s="5">
        <v>5566</v>
      </c>
      <c r="N728" s="5">
        <v>1154</v>
      </c>
      <c r="O728" s="13">
        <v>0</v>
      </c>
      <c r="P728" s="13">
        <v>201.6</v>
      </c>
    </row>
    <row r="729" spans="1:16">
      <c r="A729" s="1" t="s">
        <v>741</v>
      </c>
      <c r="B729" s="1" t="s">
        <v>731</v>
      </c>
      <c r="C729" s="1">
        <v>1994</v>
      </c>
      <c r="D729" s="1" t="s">
        <v>1715</v>
      </c>
      <c r="E729" s="17">
        <v>34533</v>
      </c>
      <c r="F729" s="18" t="str">
        <f t="shared" si="11"/>
        <v>PEPE1994_Julio</v>
      </c>
      <c r="G729" s="1" t="s">
        <v>1506</v>
      </c>
      <c r="H729" s="3">
        <v>5.67</v>
      </c>
      <c r="I729" s="3">
        <v>-77.504166666666663</v>
      </c>
      <c r="J729" s="12">
        <v>30</v>
      </c>
      <c r="K729" s="12">
        <v>28.1</v>
      </c>
      <c r="L729" s="4">
        <v>165.74585635359114</v>
      </c>
      <c r="M729" s="5">
        <v>2384</v>
      </c>
      <c r="N729" s="5">
        <v>1438</v>
      </c>
      <c r="O729" s="13">
        <v>0</v>
      </c>
      <c r="P729" s="13">
        <v>54.599999999999994</v>
      </c>
    </row>
    <row r="730" spans="1:16">
      <c r="A730" s="1" t="s">
        <v>742</v>
      </c>
      <c r="B730" s="1" t="s">
        <v>731</v>
      </c>
      <c r="C730" s="1">
        <v>1994</v>
      </c>
      <c r="D730" s="1" t="s">
        <v>1715</v>
      </c>
      <c r="E730" s="17">
        <v>34534</v>
      </c>
      <c r="F730" s="18" t="str">
        <f t="shared" si="11"/>
        <v>PEPE1994_Julio</v>
      </c>
      <c r="G730" s="1" t="s">
        <v>1361</v>
      </c>
      <c r="H730" s="3">
        <v>5.5</v>
      </c>
      <c r="I730" s="3">
        <v>-77.55</v>
      </c>
      <c r="J730" s="12">
        <v>29</v>
      </c>
      <c r="K730" s="12">
        <v>27.7</v>
      </c>
      <c r="L730" s="4">
        <v>115.10791366906474</v>
      </c>
      <c r="M730" s="5">
        <v>338</v>
      </c>
      <c r="N730" s="5">
        <v>1655</v>
      </c>
      <c r="O730" s="13">
        <v>8.9</v>
      </c>
      <c r="P730" s="13">
        <v>240.3</v>
      </c>
    </row>
    <row r="731" spans="1:16">
      <c r="A731" s="1" t="s">
        <v>743</v>
      </c>
      <c r="B731" s="1" t="s">
        <v>731</v>
      </c>
      <c r="C731" s="1">
        <v>1994</v>
      </c>
      <c r="D731" s="1" t="s">
        <v>1715</v>
      </c>
      <c r="E731" s="17">
        <v>34534</v>
      </c>
      <c r="F731" s="18" t="str">
        <f t="shared" si="11"/>
        <v>PEPE1994_Julio</v>
      </c>
      <c r="G731" s="1" t="s">
        <v>1509</v>
      </c>
      <c r="H731" s="3">
        <v>5.5</v>
      </c>
      <c r="I731" s="3">
        <v>-77.617499999999993</v>
      </c>
      <c r="J731" s="12">
        <v>25</v>
      </c>
      <c r="K731" s="12">
        <v>27.9</v>
      </c>
      <c r="L731" s="4">
        <v>140.75887392900856</v>
      </c>
      <c r="M731" s="5">
        <v>384</v>
      </c>
      <c r="N731" s="5">
        <v>1021</v>
      </c>
      <c r="O731" s="13">
        <v>76.7</v>
      </c>
      <c r="P731" s="13">
        <v>76.7</v>
      </c>
    </row>
    <row r="732" spans="1:16">
      <c r="A732" s="1" t="s">
        <v>744</v>
      </c>
      <c r="B732" s="1" t="s">
        <v>731</v>
      </c>
      <c r="C732" s="1">
        <v>1994</v>
      </c>
      <c r="D732" s="1" t="s">
        <v>1715</v>
      </c>
      <c r="E732" s="17">
        <v>34534</v>
      </c>
      <c r="F732" s="18" t="str">
        <f t="shared" si="11"/>
        <v>PEPE1994_Julio</v>
      </c>
      <c r="G732" s="1" t="s">
        <v>1510</v>
      </c>
      <c r="H732" s="3">
        <v>5.333333333333333</v>
      </c>
      <c r="I732" s="3">
        <v>-77.419166666666669</v>
      </c>
      <c r="J732" s="12">
        <v>26</v>
      </c>
      <c r="K732" s="12">
        <v>28.1</v>
      </c>
      <c r="L732" s="4">
        <v>147.45308310991959</v>
      </c>
      <c r="M732" s="5">
        <v>114</v>
      </c>
      <c r="N732" s="5">
        <v>22</v>
      </c>
      <c r="O732" s="13">
        <v>19.5</v>
      </c>
      <c r="P732" s="13">
        <v>13.5</v>
      </c>
    </row>
    <row r="733" spans="1:16">
      <c r="A733" s="1" t="s">
        <v>745</v>
      </c>
      <c r="B733" s="1" t="s">
        <v>731</v>
      </c>
      <c r="C733" s="1">
        <v>1994</v>
      </c>
      <c r="D733" s="1" t="s">
        <v>1715</v>
      </c>
      <c r="E733" s="17">
        <v>34534</v>
      </c>
      <c r="F733" s="18" t="str">
        <f t="shared" si="11"/>
        <v>PEPE1994_Julio</v>
      </c>
      <c r="G733" s="1" t="s">
        <v>1365</v>
      </c>
      <c r="H733" s="3">
        <v>5.3424999999999994</v>
      </c>
      <c r="I733" s="3">
        <v>-77.500833333333333</v>
      </c>
      <c r="J733" s="12">
        <v>25</v>
      </c>
      <c r="K733" s="12">
        <v>27.9</v>
      </c>
      <c r="L733" s="4">
        <v>121.00139082058413</v>
      </c>
      <c r="M733" s="5">
        <v>616</v>
      </c>
      <c r="N733" s="5">
        <v>986</v>
      </c>
      <c r="O733" s="13">
        <v>200.20000000000002</v>
      </c>
      <c r="P733" s="13">
        <v>308</v>
      </c>
    </row>
    <row r="734" spans="1:16">
      <c r="A734" s="1" t="s">
        <v>746</v>
      </c>
      <c r="B734" s="1" t="s">
        <v>731</v>
      </c>
      <c r="C734" s="1">
        <v>1994</v>
      </c>
      <c r="D734" s="1" t="s">
        <v>1715</v>
      </c>
      <c r="E734" s="17">
        <v>34534</v>
      </c>
      <c r="F734" s="18" t="str">
        <f t="shared" si="11"/>
        <v>PEPE1994_Julio</v>
      </c>
      <c r="G734" s="1" t="s">
        <v>1366</v>
      </c>
      <c r="H734" s="3">
        <v>5.333333333333333</v>
      </c>
      <c r="I734" s="3">
        <v>-77.568055555555546</v>
      </c>
      <c r="J734" s="12">
        <v>25</v>
      </c>
      <c r="K734" s="12">
        <v>27.5</v>
      </c>
      <c r="L734" s="4">
        <v>168.19571865443424</v>
      </c>
      <c r="M734" s="5">
        <v>229</v>
      </c>
      <c r="N734" s="5">
        <v>1726</v>
      </c>
      <c r="O734" s="13">
        <v>41.6</v>
      </c>
      <c r="P734" s="13">
        <v>41.6</v>
      </c>
    </row>
    <row r="735" spans="1:16">
      <c r="A735" s="1" t="s">
        <v>747</v>
      </c>
      <c r="B735" s="1" t="s">
        <v>731</v>
      </c>
      <c r="C735" s="1">
        <v>1994</v>
      </c>
      <c r="D735" s="1" t="s">
        <v>1715</v>
      </c>
      <c r="E735" s="17">
        <v>34534</v>
      </c>
      <c r="F735" s="18" t="str">
        <f t="shared" si="11"/>
        <v>PEPE1994_Julio</v>
      </c>
      <c r="G735" s="1" t="s">
        <v>1511</v>
      </c>
      <c r="H735" s="3">
        <v>5.1416666666666675</v>
      </c>
      <c r="I735" s="3">
        <v>-77.400555555555556</v>
      </c>
      <c r="J735" s="12">
        <v>21</v>
      </c>
      <c r="K735" s="12">
        <v>28.2</v>
      </c>
      <c r="L735" s="4">
        <v>131.00436681222709</v>
      </c>
      <c r="M735" s="5">
        <v>5</v>
      </c>
      <c r="N735" s="5">
        <v>22</v>
      </c>
      <c r="O735" s="13">
        <v>1.2000000000000002</v>
      </c>
      <c r="P735" s="13">
        <v>6.4</v>
      </c>
    </row>
    <row r="736" spans="1:16">
      <c r="A736" s="1" t="s">
        <v>748</v>
      </c>
      <c r="B736" s="1" t="s">
        <v>731</v>
      </c>
      <c r="C736" s="1">
        <v>1994</v>
      </c>
      <c r="D736" s="1" t="s">
        <v>1715</v>
      </c>
      <c r="E736" s="17">
        <v>34534</v>
      </c>
      <c r="F736" s="18" t="str">
        <f t="shared" si="11"/>
        <v>PEPE1994_Julio</v>
      </c>
      <c r="G736" s="1" t="s">
        <v>1379</v>
      </c>
      <c r="H736" s="3">
        <v>5.1686111111111117</v>
      </c>
      <c r="I736" s="3">
        <v>-77.493055555555557</v>
      </c>
      <c r="J736" s="12">
        <v>25</v>
      </c>
      <c r="K736" s="12">
        <v>27.9</v>
      </c>
      <c r="L736" s="4">
        <v>203.33680917622522</v>
      </c>
      <c r="M736" s="5">
        <v>2218</v>
      </c>
      <c r="N736" s="5">
        <v>2225</v>
      </c>
      <c r="O736" s="13">
        <v>1008</v>
      </c>
      <c r="P736" s="13">
        <v>1022.4</v>
      </c>
    </row>
    <row r="737" spans="1:16">
      <c r="A737" s="1" t="s">
        <v>749</v>
      </c>
      <c r="B737" s="1" t="s">
        <v>731</v>
      </c>
      <c r="C737" s="1">
        <v>1994</v>
      </c>
      <c r="D737" s="1" t="s">
        <v>1715</v>
      </c>
      <c r="E737" s="17">
        <v>34534</v>
      </c>
      <c r="F737" s="18" t="str">
        <f t="shared" si="11"/>
        <v>PEPE1994_Julio</v>
      </c>
      <c r="G737" s="1" t="s">
        <v>1383</v>
      </c>
      <c r="H737" s="3">
        <v>5</v>
      </c>
      <c r="I737" s="3">
        <v>-77.409166666666678</v>
      </c>
      <c r="J737" s="12">
        <v>17</v>
      </c>
      <c r="K737" s="12">
        <v>27</v>
      </c>
      <c r="L737" s="4">
        <v>159.23566878980893</v>
      </c>
      <c r="M737" s="5">
        <v>10</v>
      </c>
      <c r="N737" s="5">
        <v>98</v>
      </c>
      <c r="O737" s="13">
        <v>3.3000000000000003</v>
      </c>
      <c r="P737" s="13">
        <v>42.900000000000006</v>
      </c>
    </row>
    <row r="738" spans="1:16">
      <c r="A738" s="1" t="s">
        <v>750</v>
      </c>
      <c r="B738" s="1" t="s">
        <v>731</v>
      </c>
      <c r="C738" s="1">
        <v>1994</v>
      </c>
      <c r="D738" s="1" t="s">
        <v>1715</v>
      </c>
      <c r="E738" s="17">
        <v>34534</v>
      </c>
      <c r="F738" s="18" t="str">
        <f t="shared" si="11"/>
        <v>PEPE1994_Julio</v>
      </c>
      <c r="G738" s="1" t="s">
        <v>1384</v>
      </c>
      <c r="H738" s="3">
        <v>5</v>
      </c>
      <c r="I738" s="3">
        <v>-77.463888888888889</v>
      </c>
      <c r="J738" s="12">
        <v>25</v>
      </c>
      <c r="K738" s="12">
        <v>28</v>
      </c>
      <c r="L738" s="4">
        <v>216.21621621621622</v>
      </c>
      <c r="M738" s="5">
        <v>422</v>
      </c>
      <c r="N738" s="5">
        <v>605</v>
      </c>
      <c r="O738" s="13">
        <v>76.800000000000011</v>
      </c>
      <c r="P738" s="13">
        <v>403.20000000000005</v>
      </c>
    </row>
    <row r="739" spans="1:16">
      <c r="A739" s="1" t="s">
        <v>751</v>
      </c>
      <c r="B739" s="1" t="s">
        <v>731</v>
      </c>
      <c r="C739" s="1">
        <v>1994</v>
      </c>
      <c r="D739" s="1" t="s">
        <v>1715</v>
      </c>
      <c r="E739" s="17">
        <v>34534</v>
      </c>
      <c r="F739" s="18" t="str">
        <f t="shared" si="11"/>
        <v>PEPE1994_Julio</v>
      </c>
      <c r="G739" s="1" t="s">
        <v>1385</v>
      </c>
      <c r="H739" s="3">
        <v>5</v>
      </c>
      <c r="I739" s="3">
        <v>-77.563888888888883</v>
      </c>
      <c r="J739" s="12">
        <v>26</v>
      </c>
      <c r="K739" s="12">
        <v>28</v>
      </c>
      <c r="L739" s="4">
        <v>173.76681614349775</v>
      </c>
      <c r="M739" s="5">
        <v>624</v>
      </c>
      <c r="N739" s="5">
        <v>1643</v>
      </c>
      <c r="O739" s="13">
        <v>23.700000000000003</v>
      </c>
      <c r="P739" s="13">
        <v>63.2</v>
      </c>
    </row>
    <row r="740" spans="1:16">
      <c r="A740" s="1" t="s">
        <v>752</v>
      </c>
      <c r="B740" s="1" t="s">
        <v>731</v>
      </c>
      <c r="C740" s="1">
        <v>1994</v>
      </c>
      <c r="D740" s="1" t="s">
        <v>1715</v>
      </c>
      <c r="E740" s="17">
        <v>34534</v>
      </c>
      <c r="F740" s="18" t="str">
        <f t="shared" si="11"/>
        <v>PEPE1994_Julio</v>
      </c>
      <c r="G740" s="1" t="s">
        <v>1388</v>
      </c>
      <c r="H740" s="3">
        <v>4.833333333333333</v>
      </c>
      <c r="I740" s="3">
        <v>-77.369722222222222</v>
      </c>
      <c r="J740" s="12">
        <v>20</v>
      </c>
      <c r="K740" s="12">
        <v>27.1</v>
      </c>
      <c r="L740" s="4">
        <v>87.149187592319052</v>
      </c>
      <c r="M740" s="5">
        <v>13</v>
      </c>
      <c r="N740" s="5">
        <v>62</v>
      </c>
      <c r="O740" s="13">
        <v>0</v>
      </c>
      <c r="P740" s="13">
        <v>25.8</v>
      </c>
    </row>
    <row r="741" spans="1:16">
      <c r="A741" s="1" t="s">
        <v>753</v>
      </c>
      <c r="B741" s="1" t="s">
        <v>731</v>
      </c>
      <c r="C741" s="1">
        <v>1994</v>
      </c>
      <c r="D741" s="1" t="s">
        <v>1715</v>
      </c>
      <c r="E741" s="17">
        <v>34534</v>
      </c>
      <c r="F741" s="18" t="str">
        <f t="shared" si="11"/>
        <v>PEPE1994_Julio</v>
      </c>
      <c r="G741" s="1" t="s">
        <v>1389</v>
      </c>
      <c r="H741" s="3">
        <v>4.8394444444444442</v>
      </c>
      <c r="I741" s="3">
        <v>-77.44638888888889</v>
      </c>
      <c r="J741" s="12">
        <v>25</v>
      </c>
      <c r="K741" s="12">
        <v>27.7</v>
      </c>
      <c r="L741" s="4">
        <v>301.20481927710847</v>
      </c>
      <c r="M741" s="5">
        <v>0</v>
      </c>
      <c r="N741" s="5">
        <v>843</v>
      </c>
      <c r="O741" s="1">
        <v>0</v>
      </c>
      <c r="P741" s="13">
        <v>156.80000000000001</v>
      </c>
    </row>
    <row r="742" spans="1:16">
      <c r="A742" s="1" t="s">
        <v>754</v>
      </c>
      <c r="B742" s="1" t="s">
        <v>731</v>
      </c>
      <c r="C742" s="1">
        <v>1994</v>
      </c>
      <c r="D742" s="1" t="s">
        <v>1715</v>
      </c>
      <c r="E742" s="17">
        <v>34535</v>
      </c>
      <c r="F742" s="18" t="str">
        <f t="shared" si="11"/>
        <v>PEPE1994_Julio</v>
      </c>
      <c r="G742" s="1" t="s">
        <v>1548</v>
      </c>
      <c r="H742" s="3">
        <v>4.673055555555556</v>
      </c>
      <c r="I742" s="3">
        <v>-77.351388888888877</v>
      </c>
      <c r="J742" s="12">
        <v>25</v>
      </c>
      <c r="K742" s="12">
        <v>27</v>
      </c>
      <c r="L742" s="4">
        <v>25.70694087403599</v>
      </c>
      <c r="M742" s="5">
        <v>140</v>
      </c>
      <c r="N742" s="5">
        <v>10</v>
      </c>
      <c r="O742" s="13">
        <v>1.8</v>
      </c>
      <c r="P742" s="13">
        <v>1.6</v>
      </c>
    </row>
    <row r="743" spans="1:16">
      <c r="A743" s="1" t="s">
        <v>755</v>
      </c>
      <c r="B743" s="1" t="s">
        <v>731</v>
      </c>
      <c r="C743" s="1">
        <v>1994</v>
      </c>
      <c r="D743" s="1" t="s">
        <v>1715</v>
      </c>
      <c r="E743" s="17">
        <v>34535</v>
      </c>
      <c r="F743" s="18" t="str">
        <f t="shared" si="11"/>
        <v>PEPE1994_Julio</v>
      </c>
      <c r="G743" s="1" t="s">
        <v>1617</v>
      </c>
      <c r="H743" s="3">
        <v>4.666666666666667</v>
      </c>
      <c r="I743" s="3">
        <v>-77.416388888888889</v>
      </c>
      <c r="J743" s="12">
        <v>22</v>
      </c>
      <c r="K743" s="12">
        <v>26.7</v>
      </c>
      <c r="L743" s="4">
        <v>156.10651974288336</v>
      </c>
      <c r="M743" s="5">
        <v>2712</v>
      </c>
      <c r="N743" s="5">
        <v>1138</v>
      </c>
      <c r="O743" s="13">
        <v>1758</v>
      </c>
      <c r="P743" s="13">
        <v>666</v>
      </c>
    </row>
    <row r="744" spans="1:16">
      <c r="A744" s="1" t="s">
        <v>756</v>
      </c>
      <c r="B744" s="1" t="s">
        <v>731</v>
      </c>
      <c r="C744" s="1">
        <v>1994</v>
      </c>
      <c r="D744" s="1" t="s">
        <v>1715</v>
      </c>
      <c r="E744" s="17">
        <v>34535</v>
      </c>
      <c r="F744" s="18" t="str">
        <f t="shared" si="11"/>
        <v>PEPE1994_Julio</v>
      </c>
      <c r="G744" s="1" t="s">
        <v>1398</v>
      </c>
      <c r="H744" s="3">
        <v>4.5044444444444443</v>
      </c>
      <c r="I744" s="3">
        <v>-77.36388888888888</v>
      </c>
      <c r="J744" s="12">
        <v>20</v>
      </c>
      <c r="K744" s="12">
        <v>26.4</v>
      </c>
      <c r="L744" s="4">
        <v>38.24091778202677</v>
      </c>
      <c r="M744" s="5">
        <v>262</v>
      </c>
      <c r="N744" s="5">
        <v>81</v>
      </c>
      <c r="O744" s="13">
        <v>0.89999999999999991</v>
      </c>
      <c r="P744" s="13">
        <v>34.799999999999997</v>
      </c>
    </row>
    <row r="745" spans="1:16">
      <c r="A745" s="1" t="s">
        <v>757</v>
      </c>
      <c r="B745" s="1" t="s">
        <v>731</v>
      </c>
      <c r="C745" s="1">
        <v>1994</v>
      </c>
      <c r="D745" s="1" t="s">
        <v>1715</v>
      </c>
      <c r="E745" s="17">
        <v>34535</v>
      </c>
      <c r="F745" s="18" t="str">
        <f t="shared" si="11"/>
        <v>PEPE1994_Julio</v>
      </c>
      <c r="G745" s="1" t="s">
        <v>1399</v>
      </c>
      <c r="H745" s="3">
        <v>4.5002777777777778</v>
      </c>
      <c r="I745" s="3">
        <v>-77.428888888888892</v>
      </c>
      <c r="J745" s="12">
        <v>25</v>
      </c>
      <c r="K745" s="12">
        <v>26.7</v>
      </c>
      <c r="L745" s="4">
        <v>210.70615034168566</v>
      </c>
      <c r="M745" s="5">
        <v>220</v>
      </c>
      <c r="N745" s="5">
        <v>196</v>
      </c>
      <c r="O745" s="5">
        <v>13.2</v>
      </c>
      <c r="P745" s="5">
        <v>30</v>
      </c>
    </row>
    <row r="746" spans="1:16">
      <c r="A746" s="1" t="s">
        <v>758</v>
      </c>
      <c r="B746" s="1" t="s">
        <v>731</v>
      </c>
      <c r="C746" s="1">
        <v>1994</v>
      </c>
      <c r="D746" s="1" t="s">
        <v>1715</v>
      </c>
      <c r="E746" s="17">
        <v>34535</v>
      </c>
      <c r="F746" s="18" t="str">
        <f t="shared" si="11"/>
        <v>PEPE1994_Julio</v>
      </c>
      <c r="G746" s="1" t="s">
        <v>1400</v>
      </c>
      <c r="H746" s="3">
        <v>4.5002777777777778</v>
      </c>
      <c r="I746" s="3">
        <v>-77.510833333333338</v>
      </c>
      <c r="J746" s="12">
        <v>25</v>
      </c>
      <c r="K746" s="12">
        <v>26.7</v>
      </c>
      <c r="L746" s="4">
        <v>202.7972027972028</v>
      </c>
      <c r="M746" s="5">
        <v>323</v>
      </c>
      <c r="N746" s="5">
        <v>2340</v>
      </c>
      <c r="O746" s="5">
        <v>107.6</v>
      </c>
      <c r="P746" s="5">
        <v>322.79999999999995</v>
      </c>
    </row>
    <row r="747" spans="1:16">
      <c r="A747" s="1" t="s">
        <v>759</v>
      </c>
      <c r="B747" s="1" t="s">
        <v>731</v>
      </c>
      <c r="C747" s="1">
        <v>1994</v>
      </c>
      <c r="D747" s="1" t="s">
        <v>1715</v>
      </c>
      <c r="E747" s="17">
        <v>34535</v>
      </c>
      <c r="F747" s="18" t="str">
        <f t="shared" si="11"/>
        <v>PEPE1994_Julio</v>
      </c>
      <c r="G747" s="1" t="s">
        <v>1587</v>
      </c>
      <c r="H747" s="3">
        <v>4.2555555555555555</v>
      </c>
      <c r="I747" s="3">
        <v>-77.474166666666662</v>
      </c>
      <c r="J747" s="12">
        <v>20</v>
      </c>
      <c r="K747" s="12">
        <v>26.7</v>
      </c>
      <c r="L747" s="4">
        <v>1364.5418326693227</v>
      </c>
      <c r="M747" s="5">
        <v>4</v>
      </c>
      <c r="N747" s="5">
        <v>31</v>
      </c>
      <c r="O747" s="5">
        <v>0</v>
      </c>
      <c r="P747" s="5">
        <v>5</v>
      </c>
    </row>
    <row r="748" spans="1:16">
      <c r="A748" s="1" t="s">
        <v>760</v>
      </c>
      <c r="B748" s="1" t="s">
        <v>731</v>
      </c>
      <c r="C748" s="1">
        <v>1994</v>
      </c>
      <c r="D748" s="1" t="s">
        <v>1715</v>
      </c>
      <c r="E748" s="17">
        <v>34536</v>
      </c>
      <c r="F748" s="18" t="str">
        <f t="shared" si="11"/>
        <v>PEPE1994_Julio</v>
      </c>
      <c r="G748" s="1" t="s">
        <v>1588</v>
      </c>
      <c r="H748" s="3">
        <v>4.2538888888888886</v>
      </c>
      <c r="I748" s="3">
        <v>-77.505833333333328</v>
      </c>
      <c r="J748" s="12">
        <v>15</v>
      </c>
      <c r="K748" s="12">
        <v>26.1</v>
      </c>
      <c r="L748" s="4">
        <v>90.361445783132524</v>
      </c>
      <c r="M748" s="5">
        <v>3</v>
      </c>
      <c r="N748" s="5">
        <v>22</v>
      </c>
      <c r="O748" s="5">
        <v>0</v>
      </c>
      <c r="P748" s="5">
        <v>14.5</v>
      </c>
    </row>
    <row r="749" spans="1:16">
      <c r="A749" s="1" t="s">
        <v>761</v>
      </c>
      <c r="B749" s="1" t="s">
        <v>731</v>
      </c>
      <c r="C749" s="1">
        <v>1994</v>
      </c>
      <c r="D749" s="1" t="s">
        <v>1715</v>
      </c>
      <c r="E749" s="17">
        <v>34536</v>
      </c>
      <c r="F749" s="18" t="str">
        <f t="shared" si="11"/>
        <v>PEPE1994_Julio</v>
      </c>
      <c r="G749" s="1" t="s">
        <v>1619</v>
      </c>
      <c r="H749" s="3">
        <v>4.3336111111111109</v>
      </c>
      <c r="I749" s="3">
        <v>-77.526944444444439</v>
      </c>
      <c r="J749" s="12">
        <v>25</v>
      </c>
      <c r="K749" s="12">
        <v>26.5</v>
      </c>
      <c r="L749" s="4">
        <v>81.967213114754088</v>
      </c>
      <c r="M749" s="5">
        <v>6343</v>
      </c>
      <c r="N749" s="5">
        <v>1858</v>
      </c>
      <c r="O749" s="5">
        <v>0</v>
      </c>
      <c r="P749" s="5">
        <v>383.8</v>
      </c>
    </row>
    <row r="750" spans="1:16">
      <c r="A750" s="1" t="s">
        <v>762</v>
      </c>
      <c r="B750" s="1" t="s">
        <v>731</v>
      </c>
      <c r="C750" s="1">
        <v>1994</v>
      </c>
      <c r="D750" s="1" t="s">
        <v>1715</v>
      </c>
      <c r="E750" s="17">
        <v>34535</v>
      </c>
      <c r="F750" s="18" t="str">
        <f t="shared" si="11"/>
        <v>PEPE1994_Julio</v>
      </c>
      <c r="G750" s="1" t="s">
        <v>1550</v>
      </c>
      <c r="H750" s="3">
        <v>4.333333333333333</v>
      </c>
      <c r="I750" s="3">
        <v>-77.592777777777769</v>
      </c>
      <c r="J750" s="12">
        <v>25</v>
      </c>
      <c r="K750" s="12">
        <v>26.9</v>
      </c>
      <c r="L750" s="4">
        <v>145.48238897396632</v>
      </c>
      <c r="M750" s="5">
        <v>36</v>
      </c>
      <c r="N750" s="5">
        <v>1413</v>
      </c>
      <c r="O750" s="5">
        <v>0</v>
      </c>
      <c r="P750" s="5">
        <v>45</v>
      </c>
    </row>
    <row r="751" spans="1:16">
      <c r="A751" s="1" t="s">
        <v>763</v>
      </c>
      <c r="B751" s="1" t="s">
        <v>731</v>
      </c>
      <c r="C751" s="1">
        <v>1994</v>
      </c>
      <c r="D751" s="1" t="s">
        <v>1715</v>
      </c>
      <c r="E751" s="17">
        <v>34535</v>
      </c>
      <c r="F751" s="18" t="str">
        <f t="shared" si="11"/>
        <v>PEPE1994_Julio</v>
      </c>
      <c r="G751" s="1" t="s">
        <v>1405</v>
      </c>
      <c r="H751" s="3">
        <v>4.3344444444444443</v>
      </c>
      <c r="I751" s="3">
        <v>-77.676944444444445</v>
      </c>
      <c r="J751" s="12">
        <v>30</v>
      </c>
      <c r="K751" s="12">
        <v>27</v>
      </c>
      <c r="L751" s="4">
        <v>187.01870187018702</v>
      </c>
      <c r="M751" s="5">
        <v>4811</v>
      </c>
      <c r="N751" s="5">
        <v>1612</v>
      </c>
      <c r="O751" s="5">
        <v>8.1</v>
      </c>
      <c r="P751" s="5">
        <v>8.1</v>
      </c>
    </row>
    <row r="752" spans="1:16">
      <c r="A752" s="1" t="s">
        <v>764</v>
      </c>
      <c r="B752" s="1" t="s">
        <v>731</v>
      </c>
      <c r="C752" s="1">
        <v>1994</v>
      </c>
      <c r="D752" s="1" t="s">
        <v>1715</v>
      </c>
      <c r="E752" s="17">
        <v>34536</v>
      </c>
      <c r="F752" s="18" t="str">
        <f t="shared" si="11"/>
        <v>PEPE1994_Julio</v>
      </c>
      <c r="G752" s="1" t="s">
        <v>1408</v>
      </c>
      <c r="H752" s="3">
        <v>4.1677777777777782</v>
      </c>
      <c r="I752" s="3">
        <v>-77.547222222222217</v>
      </c>
      <c r="J752" s="12">
        <v>28</v>
      </c>
      <c r="K752" s="12">
        <v>27.3</v>
      </c>
      <c r="L752" s="4">
        <v>11.299435028248588</v>
      </c>
      <c r="M752" s="5">
        <v>63</v>
      </c>
      <c r="N752" s="5">
        <v>44</v>
      </c>
      <c r="O752" s="5">
        <v>0.60000000000000009</v>
      </c>
      <c r="P752" s="5">
        <v>20</v>
      </c>
    </row>
    <row r="753" spans="1:16">
      <c r="A753" s="1" t="s">
        <v>765</v>
      </c>
      <c r="B753" s="1" t="s">
        <v>731</v>
      </c>
      <c r="C753" s="1">
        <v>1994</v>
      </c>
      <c r="D753" s="1" t="s">
        <v>1715</v>
      </c>
      <c r="E753" s="17">
        <v>34537</v>
      </c>
      <c r="F753" s="18" t="str">
        <f t="shared" si="11"/>
        <v>PEPE1994_Julio</v>
      </c>
      <c r="G753" s="1" t="s">
        <v>1409</v>
      </c>
      <c r="H753" s="3">
        <v>4.166666666666667</v>
      </c>
      <c r="I753" s="3">
        <v>-77.614722222222213</v>
      </c>
      <c r="J753" s="12">
        <v>20</v>
      </c>
      <c r="K753" s="12">
        <v>29.7</v>
      </c>
      <c r="L753" s="4">
        <v>168.0672268907563</v>
      </c>
      <c r="M753" s="5">
        <v>108</v>
      </c>
      <c r="N753" s="5">
        <v>1906</v>
      </c>
      <c r="O753" s="5">
        <v>0</v>
      </c>
      <c r="P753" s="5">
        <v>29.400000000000002</v>
      </c>
    </row>
    <row r="754" spans="1:16">
      <c r="A754" s="1" t="s">
        <v>766</v>
      </c>
      <c r="B754" s="1" t="s">
        <v>731</v>
      </c>
      <c r="C754" s="1">
        <v>1994</v>
      </c>
      <c r="D754" s="1" t="s">
        <v>1715</v>
      </c>
      <c r="E754" s="17">
        <v>34538</v>
      </c>
      <c r="F754" s="18" t="str">
        <f t="shared" si="11"/>
        <v>PEPE1994_Julio</v>
      </c>
      <c r="G754" s="1" t="s">
        <v>1592</v>
      </c>
      <c r="H754" s="3">
        <v>3.9738888888888892</v>
      </c>
      <c r="I754" s="3">
        <v>-77.323333333333323</v>
      </c>
      <c r="J754" s="12">
        <v>23</v>
      </c>
      <c r="K754" s="12">
        <v>27.5</v>
      </c>
      <c r="L754" s="4">
        <v>892.85714285714289</v>
      </c>
      <c r="M754" s="5">
        <v>69</v>
      </c>
      <c r="N754" s="5">
        <v>10</v>
      </c>
      <c r="O754" s="5">
        <v>0.8</v>
      </c>
      <c r="P754" s="5">
        <v>1.9000000000000001</v>
      </c>
    </row>
    <row r="755" spans="1:16">
      <c r="A755" s="1" t="s">
        <v>767</v>
      </c>
      <c r="B755" s="1" t="s">
        <v>731</v>
      </c>
      <c r="C755" s="1">
        <v>1994</v>
      </c>
      <c r="D755" s="1" t="s">
        <v>1715</v>
      </c>
      <c r="E755" s="17">
        <v>34538</v>
      </c>
      <c r="F755" s="18" t="str">
        <f t="shared" si="11"/>
        <v>PEPE1994_Julio</v>
      </c>
      <c r="G755" s="1" t="s">
        <v>1593</v>
      </c>
      <c r="H755" s="3">
        <v>3.9925000000000002</v>
      </c>
      <c r="I755" s="3">
        <v>-77.295833333333334</v>
      </c>
      <c r="J755" s="12">
        <v>25</v>
      </c>
      <c r="K755" s="12">
        <v>27.8</v>
      </c>
      <c r="L755" s="4">
        <v>920.81031307550654</v>
      </c>
      <c r="M755" s="5">
        <v>14</v>
      </c>
      <c r="N755" s="5">
        <v>17</v>
      </c>
      <c r="O755" s="5">
        <v>0.89999999999999991</v>
      </c>
      <c r="P755" s="5">
        <v>4.5</v>
      </c>
    </row>
    <row r="756" spans="1:16">
      <c r="A756" s="1" t="s">
        <v>768</v>
      </c>
      <c r="B756" s="1" t="s">
        <v>731</v>
      </c>
      <c r="C756" s="1">
        <v>1994</v>
      </c>
      <c r="D756" s="1" t="s">
        <v>1715</v>
      </c>
      <c r="E756" s="17">
        <v>34538</v>
      </c>
      <c r="F756" s="18" t="str">
        <f t="shared" si="11"/>
        <v>PEPE1994_Julio</v>
      </c>
      <c r="G756" s="1" t="s">
        <v>1594</v>
      </c>
      <c r="H756" s="3">
        <v>3.9897222222222224</v>
      </c>
      <c r="I756" s="3">
        <v>-77.256388888888893</v>
      </c>
      <c r="J756" s="12">
        <v>20</v>
      </c>
      <c r="K756" s="12">
        <v>28</v>
      </c>
      <c r="L756" s="4">
        <v>937.24531377343112</v>
      </c>
      <c r="M756" s="5">
        <v>12</v>
      </c>
      <c r="N756" s="5">
        <v>68</v>
      </c>
      <c r="O756" s="5">
        <v>0</v>
      </c>
      <c r="P756" s="5">
        <v>11.600000000000001</v>
      </c>
    </row>
    <row r="757" spans="1:16">
      <c r="A757" s="1" t="s">
        <v>769</v>
      </c>
      <c r="B757" s="1" t="s">
        <v>731</v>
      </c>
      <c r="C757" s="1">
        <v>1994</v>
      </c>
      <c r="D757" s="1" t="s">
        <v>1715</v>
      </c>
      <c r="E757" s="17">
        <v>34538</v>
      </c>
      <c r="F757" s="18" t="str">
        <f t="shared" si="11"/>
        <v>PEPE1994_Julio</v>
      </c>
      <c r="G757" s="1" t="s">
        <v>1621</v>
      </c>
      <c r="H757" s="3">
        <v>3.9750000000000001</v>
      </c>
      <c r="I757" s="3">
        <v>-77.233888888888885</v>
      </c>
      <c r="J757" s="12">
        <v>15</v>
      </c>
      <c r="K757" s="12">
        <v>28</v>
      </c>
      <c r="L757" s="4">
        <v>319.69309462915601</v>
      </c>
      <c r="M757" s="5">
        <v>7</v>
      </c>
      <c r="N757" s="5">
        <v>11</v>
      </c>
      <c r="O757" s="5">
        <v>0</v>
      </c>
      <c r="P757" s="5">
        <v>2.4000000000000004</v>
      </c>
    </row>
    <row r="758" spans="1:16">
      <c r="A758" s="1" t="s">
        <v>770</v>
      </c>
      <c r="B758" s="1" t="s">
        <v>731</v>
      </c>
      <c r="C758" s="1">
        <v>1994</v>
      </c>
      <c r="D758" s="1" t="s">
        <v>1715</v>
      </c>
      <c r="E758" s="17">
        <v>34530</v>
      </c>
      <c r="F758" s="18" t="str">
        <f t="shared" si="11"/>
        <v>PEPE1994_Julio</v>
      </c>
      <c r="G758" s="1" t="s">
        <v>1595</v>
      </c>
      <c r="H758" s="3">
        <v>3.8336111111111109</v>
      </c>
      <c r="I758" s="3">
        <v>-77.155555555555566</v>
      </c>
      <c r="J758" s="12">
        <v>20</v>
      </c>
      <c r="K758" s="12">
        <v>28</v>
      </c>
      <c r="L758" s="4">
        <v>1478.5992217898834</v>
      </c>
      <c r="M758" s="5">
        <v>189</v>
      </c>
      <c r="N758" s="5">
        <v>51</v>
      </c>
      <c r="O758" s="5">
        <v>0</v>
      </c>
      <c r="P758" s="5">
        <v>28.8</v>
      </c>
    </row>
    <row r="759" spans="1:16">
      <c r="A759" s="1" t="s">
        <v>771</v>
      </c>
      <c r="B759" s="1" t="s">
        <v>731</v>
      </c>
      <c r="C759" s="1">
        <v>1994</v>
      </c>
      <c r="D759" s="1" t="s">
        <v>1715</v>
      </c>
      <c r="E759" s="17">
        <v>34530</v>
      </c>
      <c r="F759" s="18" t="str">
        <f t="shared" si="11"/>
        <v>PEPE1994_Julio</v>
      </c>
      <c r="G759" s="1" t="s">
        <v>1596</v>
      </c>
      <c r="H759" s="3">
        <v>3.8766666666666669</v>
      </c>
      <c r="I759" s="3">
        <v>-77.126666666666665</v>
      </c>
      <c r="J759" s="12">
        <v>19</v>
      </c>
      <c r="K759" s="12">
        <v>29</v>
      </c>
      <c r="L759" s="4">
        <v>1181.8181818181818</v>
      </c>
      <c r="M759" s="5">
        <v>25</v>
      </c>
      <c r="N759" s="5">
        <v>59</v>
      </c>
      <c r="O759" s="5">
        <v>0</v>
      </c>
      <c r="P759" s="5">
        <v>27</v>
      </c>
    </row>
    <row r="760" spans="1:16">
      <c r="A760" s="1" t="s">
        <v>772</v>
      </c>
      <c r="B760" s="1" t="s">
        <v>731</v>
      </c>
      <c r="C760" s="1">
        <v>1994</v>
      </c>
      <c r="D760" s="1" t="s">
        <v>1715</v>
      </c>
      <c r="E760" s="17">
        <v>34530</v>
      </c>
      <c r="F760" s="18" t="str">
        <f t="shared" si="11"/>
        <v>PEPE1994_Julio</v>
      </c>
      <c r="G760" s="1" t="s">
        <v>1622</v>
      </c>
      <c r="H760" s="3">
        <v>3.9055555555555554</v>
      </c>
      <c r="I760" s="3">
        <v>-77.096388888888882</v>
      </c>
      <c r="J760" s="12">
        <v>17</v>
      </c>
      <c r="K760" s="12">
        <v>29</v>
      </c>
      <c r="L760" s="4">
        <v>245.39877300613497</v>
      </c>
      <c r="M760" s="5">
        <v>5</v>
      </c>
      <c r="N760" s="5">
        <v>77</v>
      </c>
      <c r="O760" s="5">
        <v>0</v>
      </c>
      <c r="P760" s="5">
        <v>34.799999999999997</v>
      </c>
    </row>
    <row r="761" spans="1:16">
      <c r="A761" s="1" t="s">
        <v>773</v>
      </c>
      <c r="B761" s="1" t="s">
        <v>731</v>
      </c>
      <c r="C761" s="1">
        <v>1994</v>
      </c>
      <c r="D761" s="1" t="s">
        <v>1715</v>
      </c>
      <c r="E761" s="17">
        <v>34537</v>
      </c>
      <c r="F761" s="18" t="str">
        <f t="shared" si="11"/>
        <v>PEPE1994_Julio</v>
      </c>
      <c r="G761" s="1" t="s">
        <v>1417</v>
      </c>
      <c r="H761" s="3">
        <v>3.8352777777777778</v>
      </c>
      <c r="I761" s="3">
        <v>-77.317499999999995</v>
      </c>
      <c r="J761" s="12">
        <v>25</v>
      </c>
      <c r="K761" s="12">
        <v>27.9</v>
      </c>
      <c r="L761" s="4">
        <v>193.86106623586431</v>
      </c>
      <c r="M761" s="5">
        <v>155</v>
      </c>
      <c r="N761" s="5">
        <v>220</v>
      </c>
      <c r="O761" s="5">
        <v>0</v>
      </c>
      <c r="P761" s="5">
        <v>109</v>
      </c>
    </row>
    <row r="762" spans="1:16">
      <c r="A762" s="1" t="s">
        <v>774</v>
      </c>
      <c r="B762" s="1" t="s">
        <v>731</v>
      </c>
      <c r="C762" s="1">
        <v>1994</v>
      </c>
      <c r="D762" s="1" t="s">
        <v>1715</v>
      </c>
      <c r="E762" s="17">
        <v>34540</v>
      </c>
      <c r="F762" s="18" t="str">
        <f t="shared" si="11"/>
        <v>PEPE1994_Julio</v>
      </c>
      <c r="G762" s="1" t="s">
        <v>1418</v>
      </c>
      <c r="H762" s="3">
        <v>3.835</v>
      </c>
      <c r="I762" s="3">
        <v>-77.393055555555549</v>
      </c>
      <c r="J762" s="12">
        <v>27</v>
      </c>
      <c r="K762" s="12">
        <v>27.9</v>
      </c>
      <c r="L762" s="4">
        <v>194.50800915331806</v>
      </c>
      <c r="M762" s="5">
        <v>1940</v>
      </c>
      <c r="N762" s="5">
        <v>1055</v>
      </c>
      <c r="O762" s="5">
        <v>19.8</v>
      </c>
      <c r="P762" s="5">
        <v>419.40000000000003</v>
      </c>
    </row>
    <row r="763" spans="1:16">
      <c r="A763" s="1" t="s">
        <v>775</v>
      </c>
      <c r="B763" s="1" t="s">
        <v>731</v>
      </c>
      <c r="C763" s="1">
        <v>1994</v>
      </c>
      <c r="D763" s="1" t="s">
        <v>1715</v>
      </c>
      <c r="E763" s="17">
        <v>34537</v>
      </c>
      <c r="F763" s="18" t="str">
        <f t="shared" si="11"/>
        <v>PEPE1994_Julio</v>
      </c>
      <c r="G763" s="1" t="s">
        <v>1419</v>
      </c>
      <c r="H763" s="3">
        <v>3.8333333333333335</v>
      </c>
      <c r="I763" s="3">
        <v>-77.466944444444451</v>
      </c>
      <c r="J763" s="12">
        <v>28</v>
      </c>
      <c r="K763" s="12">
        <v>28.4</v>
      </c>
      <c r="L763" s="4">
        <v>298.50746268656718</v>
      </c>
      <c r="M763" s="5">
        <v>65</v>
      </c>
      <c r="N763" s="5">
        <v>826</v>
      </c>
      <c r="O763" s="5">
        <v>44.199999999999996</v>
      </c>
      <c r="P763" s="5">
        <v>6.8</v>
      </c>
    </row>
    <row r="764" spans="1:16">
      <c r="A764" s="1" t="s">
        <v>776</v>
      </c>
      <c r="B764" s="1" t="s">
        <v>731</v>
      </c>
      <c r="C764" s="1">
        <v>1994</v>
      </c>
      <c r="D764" s="1" t="s">
        <v>1715</v>
      </c>
      <c r="E764" s="17">
        <v>34541</v>
      </c>
      <c r="F764" s="18" t="str">
        <f t="shared" si="11"/>
        <v>PEPE1994_Julio</v>
      </c>
      <c r="G764" s="1" t="s">
        <v>1598</v>
      </c>
      <c r="H764" s="3">
        <v>3.668333333333333</v>
      </c>
      <c r="I764" s="3">
        <v>-77.201111111111118</v>
      </c>
      <c r="J764" s="12">
        <v>20</v>
      </c>
      <c r="K764" s="12">
        <v>27.8</v>
      </c>
      <c r="L764" s="4">
        <v>241.71888988361681</v>
      </c>
      <c r="M764" s="5">
        <v>114</v>
      </c>
      <c r="N764" s="5">
        <v>62</v>
      </c>
      <c r="O764" s="5">
        <v>2</v>
      </c>
      <c r="P764" s="5">
        <v>29</v>
      </c>
    </row>
    <row r="765" spans="1:16">
      <c r="A765" s="1" t="s">
        <v>777</v>
      </c>
      <c r="B765" s="1" t="s">
        <v>731</v>
      </c>
      <c r="C765" s="1">
        <v>1994</v>
      </c>
      <c r="D765" s="1" t="s">
        <v>1715</v>
      </c>
      <c r="E765" s="17">
        <v>34541</v>
      </c>
      <c r="F765" s="18" t="str">
        <f t="shared" si="11"/>
        <v>PEPE1994_Julio</v>
      </c>
      <c r="G765" s="1" t="s">
        <v>1555</v>
      </c>
      <c r="H765" s="3">
        <v>3.6719444444444442</v>
      </c>
      <c r="I765" s="3">
        <v>-77.266944444444448</v>
      </c>
      <c r="J765" s="12">
        <v>25</v>
      </c>
      <c r="K765" s="12">
        <v>28</v>
      </c>
      <c r="L765" s="4">
        <v>101.01010101010101</v>
      </c>
      <c r="M765" s="5">
        <v>142</v>
      </c>
      <c r="N765" s="5">
        <v>32</v>
      </c>
      <c r="O765" s="5">
        <v>3.1</v>
      </c>
      <c r="P765" s="5">
        <v>10.3</v>
      </c>
    </row>
    <row r="766" spans="1:16">
      <c r="A766" s="1" t="s">
        <v>778</v>
      </c>
      <c r="B766" s="1" t="s">
        <v>731</v>
      </c>
      <c r="C766" s="1">
        <v>1994</v>
      </c>
      <c r="D766" s="1" t="s">
        <v>1715</v>
      </c>
      <c r="E766" s="17">
        <v>34541</v>
      </c>
      <c r="F766" s="18" t="str">
        <f t="shared" si="11"/>
        <v>PEPE1994_Julio</v>
      </c>
      <c r="G766" s="1" t="s">
        <v>1424</v>
      </c>
      <c r="H766" s="3">
        <v>3.6666666666666665</v>
      </c>
      <c r="I766" s="3">
        <v>-77.350555555555545</v>
      </c>
      <c r="J766" s="12">
        <v>30</v>
      </c>
      <c r="K766" s="12">
        <v>27.8</v>
      </c>
      <c r="L766" s="4">
        <v>200.42194092827006</v>
      </c>
      <c r="M766" s="5">
        <v>3842</v>
      </c>
      <c r="N766" s="5">
        <v>1220</v>
      </c>
      <c r="O766" s="5">
        <v>66</v>
      </c>
      <c r="P766" s="5">
        <v>446</v>
      </c>
    </row>
    <row r="767" spans="1:16">
      <c r="A767" s="1" t="s">
        <v>779</v>
      </c>
      <c r="B767" s="1" t="s">
        <v>731</v>
      </c>
      <c r="C767" s="1">
        <v>1994</v>
      </c>
      <c r="D767" s="1" t="s">
        <v>1715</v>
      </c>
      <c r="E767" s="17">
        <v>34542</v>
      </c>
      <c r="F767" s="18" t="str">
        <f t="shared" si="11"/>
        <v>PEPE1994_Julio</v>
      </c>
      <c r="G767" s="1" t="s">
        <v>1600</v>
      </c>
      <c r="H767" s="3">
        <v>3.4744444444444444</v>
      </c>
      <c r="I767" s="3">
        <v>-77.300277777777779</v>
      </c>
      <c r="J767" s="12">
        <v>12</v>
      </c>
      <c r="K767" s="12">
        <v>27.5</v>
      </c>
      <c r="L767" s="4">
        <v>292.72898961284227</v>
      </c>
      <c r="M767" s="5">
        <v>33</v>
      </c>
      <c r="N767" s="5">
        <v>25</v>
      </c>
      <c r="O767" s="5">
        <v>0</v>
      </c>
      <c r="P767" s="5">
        <v>9.6000000000000014</v>
      </c>
    </row>
    <row r="768" spans="1:16">
      <c r="A768" s="1" t="s">
        <v>780</v>
      </c>
      <c r="B768" s="1" t="s">
        <v>731</v>
      </c>
      <c r="C768" s="1">
        <v>1994</v>
      </c>
      <c r="D768" s="1" t="s">
        <v>1715</v>
      </c>
      <c r="E768" s="17">
        <v>34541</v>
      </c>
      <c r="F768" s="18" t="str">
        <f t="shared" si="11"/>
        <v>PEPE1994_Julio</v>
      </c>
      <c r="G768" s="1" t="s">
        <v>1427</v>
      </c>
      <c r="H768" s="3">
        <v>3.5</v>
      </c>
      <c r="I768" s="3">
        <v>-77.36666666666666</v>
      </c>
      <c r="J768" s="12">
        <v>28</v>
      </c>
      <c r="K768" s="12">
        <v>27.9</v>
      </c>
      <c r="L768" s="4">
        <v>62.5</v>
      </c>
      <c r="M768" s="5">
        <v>86</v>
      </c>
      <c r="N768" s="5">
        <v>6</v>
      </c>
      <c r="O768" s="5">
        <v>16.100000000000001</v>
      </c>
      <c r="P768" s="5">
        <v>2</v>
      </c>
    </row>
    <row r="769" spans="1:16">
      <c r="A769" s="1" t="s">
        <v>781</v>
      </c>
      <c r="B769" s="1" t="s">
        <v>731</v>
      </c>
      <c r="C769" s="1">
        <v>1994</v>
      </c>
      <c r="D769" s="1" t="s">
        <v>1715</v>
      </c>
      <c r="E769" s="17">
        <v>34541</v>
      </c>
      <c r="F769" s="18" t="str">
        <f t="shared" si="11"/>
        <v>PEPE1994_Julio</v>
      </c>
      <c r="G769" s="1" t="s">
        <v>1428</v>
      </c>
      <c r="H769" s="3">
        <v>3.5005555555555556</v>
      </c>
      <c r="I769" s="3">
        <v>-77.450277777777785</v>
      </c>
      <c r="J769" s="12">
        <v>30</v>
      </c>
      <c r="K769" s="12">
        <v>27.7</v>
      </c>
      <c r="L769" s="4">
        <v>518.63857374392217</v>
      </c>
      <c r="M769" s="5">
        <v>209</v>
      </c>
      <c r="N769" s="5">
        <v>2767</v>
      </c>
      <c r="O769" s="5">
        <v>0</v>
      </c>
      <c r="P769" s="5">
        <v>555.5</v>
      </c>
    </row>
    <row r="770" spans="1:16">
      <c r="A770" s="1" t="s">
        <v>782</v>
      </c>
      <c r="B770" s="1" t="s">
        <v>731</v>
      </c>
      <c r="C770" s="1">
        <v>1994</v>
      </c>
      <c r="D770" s="1" t="s">
        <v>1715</v>
      </c>
      <c r="E770" s="17">
        <v>34541</v>
      </c>
      <c r="F770" s="18" t="str">
        <f t="shared" si="11"/>
        <v>PEPE1994_Julio</v>
      </c>
      <c r="G770" s="1" t="s">
        <v>1558</v>
      </c>
      <c r="H770" s="3">
        <v>3.3333333333333335</v>
      </c>
      <c r="I770" s="3">
        <v>-77.5</v>
      </c>
      <c r="J770" s="12">
        <v>25</v>
      </c>
      <c r="K770" s="12">
        <v>27.5</v>
      </c>
      <c r="L770" s="4">
        <v>93.240093240093245</v>
      </c>
      <c r="M770" s="5">
        <v>243</v>
      </c>
      <c r="N770" s="5">
        <v>11</v>
      </c>
      <c r="O770" s="5">
        <v>0.60000000000000009</v>
      </c>
      <c r="P770" s="5">
        <v>1.7000000000000002</v>
      </c>
    </row>
    <row r="771" spans="1:16">
      <c r="A771" s="1" t="s">
        <v>783</v>
      </c>
      <c r="B771" s="1" t="s">
        <v>731</v>
      </c>
      <c r="C771" s="1">
        <v>1994</v>
      </c>
      <c r="D771" s="1" t="s">
        <v>1715</v>
      </c>
      <c r="E771" s="17">
        <v>34541</v>
      </c>
      <c r="F771" s="18" t="str">
        <f t="shared" ref="F771:F834" si="12">"PEPE"&amp;C771&amp;"_"&amp;D771</f>
        <v>PEPE1994_Julio</v>
      </c>
      <c r="G771" s="1" t="s">
        <v>1559</v>
      </c>
      <c r="H771" s="3">
        <v>3.3333333333333335</v>
      </c>
      <c r="I771" s="3">
        <v>-77.570555555555558</v>
      </c>
      <c r="J771" s="12">
        <v>30</v>
      </c>
      <c r="K771" s="12">
        <v>27.9</v>
      </c>
      <c r="L771" s="4">
        <v>365.96523330283622</v>
      </c>
      <c r="M771" s="5">
        <v>364</v>
      </c>
      <c r="N771" s="5">
        <v>832</v>
      </c>
      <c r="O771" s="5">
        <v>8</v>
      </c>
      <c r="P771" s="5">
        <v>102</v>
      </c>
    </row>
    <row r="772" spans="1:16">
      <c r="A772" s="1" t="s">
        <v>784</v>
      </c>
      <c r="B772" s="1" t="s">
        <v>731</v>
      </c>
      <c r="C772" s="1">
        <v>1994</v>
      </c>
      <c r="D772" s="1" t="s">
        <v>1715</v>
      </c>
      <c r="E772" s="17">
        <v>34541</v>
      </c>
      <c r="F772" s="18" t="str">
        <f t="shared" si="12"/>
        <v>PEPE1994_Julio</v>
      </c>
      <c r="G772" s="1" t="s">
        <v>1434</v>
      </c>
      <c r="H772" s="3">
        <v>3.3355555555555556</v>
      </c>
      <c r="I772" s="3">
        <v>-77.651111111111121</v>
      </c>
      <c r="J772" s="12">
        <v>30</v>
      </c>
      <c r="K772" s="12">
        <v>28.9</v>
      </c>
      <c r="L772" s="4">
        <v>226.41509433962264</v>
      </c>
      <c r="M772" s="5">
        <v>70</v>
      </c>
      <c r="N772" s="5">
        <v>1245</v>
      </c>
      <c r="O772" s="5">
        <v>0</v>
      </c>
      <c r="P772" s="5">
        <v>30</v>
      </c>
    </row>
    <row r="773" spans="1:16">
      <c r="A773" s="1" t="s">
        <v>785</v>
      </c>
      <c r="B773" s="1" t="s">
        <v>731</v>
      </c>
      <c r="C773" s="1">
        <v>1994</v>
      </c>
      <c r="D773" s="1" t="s">
        <v>1715</v>
      </c>
      <c r="E773" s="17">
        <v>34541</v>
      </c>
      <c r="F773" s="18" t="str">
        <f t="shared" si="12"/>
        <v>PEPE1994_Julio</v>
      </c>
      <c r="G773" s="1" t="s">
        <v>1437</v>
      </c>
      <c r="H773" s="3">
        <v>3.1769444444444446</v>
      </c>
      <c r="I773" s="3">
        <v>-77.586944444444441</v>
      </c>
      <c r="J773" s="12">
        <v>16</v>
      </c>
      <c r="K773" s="12">
        <v>28.2</v>
      </c>
      <c r="L773" s="4">
        <v>331.1867525298988</v>
      </c>
      <c r="M773" s="5">
        <v>669</v>
      </c>
      <c r="N773" s="5">
        <v>86</v>
      </c>
      <c r="O773" s="5">
        <v>444.6</v>
      </c>
      <c r="P773" s="5">
        <v>52.7</v>
      </c>
    </row>
    <row r="774" spans="1:16">
      <c r="A774" s="1" t="s">
        <v>786</v>
      </c>
      <c r="B774" s="1" t="s">
        <v>731</v>
      </c>
      <c r="C774" s="1">
        <v>1994</v>
      </c>
      <c r="D774" s="1" t="s">
        <v>1715</v>
      </c>
      <c r="E774" s="17">
        <v>34541</v>
      </c>
      <c r="F774" s="18" t="str">
        <f t="shared" si="12"/>
        <v>PEPE1994_Julio</v>
      </c>
      <c r="G774" s="1" t="s">
        <v>1438</v>
      </c>
      <c r="H774" s="3">
        <v>3.1669444444444443</v>
      </c>
      <c r="I774" s="3">
        <v>-77.664722222222224</v>
      </c>
      <c r="J774" s="12">
        <v>29</v>
      </c>
      <c r="K774" s="12">
        <v>28.6</v>
      </c>
      <c r="L774" s="4">
        <v>379.74683544303798</v>
      </c>
      <c r="M774" s="5">
        <v>553</v>
      </c>
      <c r="N774" s="5">
        <v>1503</v>
      </c>
      <c r="O774" s="5">
        <v>134.29999999999998</v>
      </c>
      <c r="P774" s="5">
        <v>396.09999999999997</v>
      </c>
    </row>
    <row r="775" spans="1:16">
      <c r="A775" s="1" t="s">
        <v>787</v>
      </c>
      <c r="B775" s="1" t="s">
        <v>731</v>
      </c>
      <c r="C775" s="1">
        <v>1994</v>
      </c>
      <c r="D775" s="1" t="s">
        <v>1715</v>
      </c>
      <c r="E775" s="17">
        <v>34541</v>
      </c>
      <c r="F775" s="18" t="str">
        <f t="shared" si="12"/>
        <v>PEPE1994_Julio</v>
      </c>
      <c r="G775" s="1" t="s">
        <v>1439</v>
      </c>
      <c r="H775" s="3">
        <v>3.1666666666666665</v>
      </c>
      <c r="I775" s="3">
        <v>-77.750277777777782</v>
      </c>
      <c r="J775" s="12">
        <v>35</v>
      </c>
      <c r="K775" s="12">
        <v>28</v>
      </c>
      <c r="L775" s="4">
        <v>206.57276995305165</v>
      </c>
      <c r="M775" s="5">
        <v>71</v>
      </c>
      <c r="N775" s="5">
        <v>2335</v>
      </c>
      <c r="O775" s="5">
        <v>8.4</v>
      </c>
      <c r="P775" s="5">
        <v>176.4</v>
      </c>
    </row>
    <row r="776" spans="1:16">
      <c r="A776" s="1" t="s">
        <v>788</v>
      </c>
      <c r="B776" s="1" t="s">
        <v>731</v>
      </c>
      <c r="C776" s="1">
        <v>1994</v>
      </c>
      <c r="D776" s="1" t="s">
        <v>1715</v>
      </c>
      <c r="E776" s="17">
        <v>34543</v>
      </c>
      <c r="F776" s="18" t="str">
        <f t="shared" si="12"/>
        <v>PEPE1994_Julio</v>
      </c>
      <c r="G776" s="1" t="s">
        <v>1562</v>
      </c>
      <c r="H776" s="3">
        <v>3.0033333333333334</v>
      </c>
      <c r="I776" s="3">
        <v>-77.712500000000006</v>
      </c>
      <c r="J776" s="12">
        <v>26</v>
      </c>
      <c r="K776" s="12">
        <v>27.8</v>
      </c>
      <c r="L776" s="4">
        <v>156.52173913043478</v>
      </c>
      <c r="M776" s="5">
        <v>383</v>
      </c>
      <c r="N776" s="5">
        <v>28</v>
      </c>
      <c r="O776" s="5">
        <v>10.700000000000001</v>
      </c>
      <c r="P776" s="5">
        <v>12.4</v>
      </c>
    </row>
    <row r="777" spans="1:16">
      <c r="A777" s="1" t="s">
        <v>789</v>
      </c>
      <c r="B777" s="1" t="s">
        <v>731</v>
      </c>
      <c r="C777" s="1">
        <v>1994</v>
      </c>
      <c r="D777" s="1" t="s">
        <v>1715</v>
      </c>
      <c r="E777" s="17">
        <v>34543</v>
      </c>
      <c r="F777" s="18" t="str">
        <f t="shared" si="12"/>
        <v>PEPE1994_Julio</v>
      </c>
      <c r="G777" s="1" t="s">
        <v>1443</v>
      </c>
      <c r="H777" s="3">
        <v>3</v>
      </c>
      <c r="I777" s="3">
        <v>-77.784444444444446</v>
      </c>
      <c r="J777" s="12">
        <v>31</v>
      </c>
      <c r="K777" s="12">
        <v>27.7</v>
      </c>
      <c r="L777" s="4">
        <v>527.16950527169502</v>
      </c>
      <c r="M777" s="5">
        <v>116</v>
      </c>
      <c r="N777" s="5">
        <v>5190</v>
      </c>
      <c r="O777" s="5">
        <v>27</v>
      </c>
      <c r="P777" s="5">
        <v>1512</v>
      </c>
    </row>
    <row r="778" spans="1:16">
      <c r="A778" s="1" t="s">
        <v>790</v>
      </c>
      <c r="B778" s="1" t="s">
        <v>731</v>
      </c>
      <c r="C778" s="1">
        <v>1994</v>
      </c>
      <c r="D778" s="1" t="s">
        <v>1715</v>
      </c>
      <c r="E778" s="17">
        <v>34543</v>
      </c>
      <c r="F778" s="18" t="str">
        <f t="shared" si="12"/>
        <v>PEPE1994_Julio</v>
      </c>
      <c r="G778" s="1" t="s">
        <v>1624</v>
      </c>
      <c r="H778" s="3">
        <v>2.7930555555555556</v>
      </c>
      <c r="I778" s="3">
        <v>-77.761111111111106</v>
      </c>
      <c r="J778" s="12">
        <v>15</v>
      </c>
      <c r="K778" s="12">
        <v>28</v>
      </c>
      <c r="L778" s="4">
        <v>166.66666666666666</v>
      </c>
      <c r="M778" s="5">
        <v>0</v>
      </c>
      <c r="N778" s="5">
        <v>0</v>
      </c>
      <c r="O778" s="1">
        <v>0</v>
      </c>
      <c r="P778" s="13">
        <v>0</v>
      </c>
    </row>
    <row r="779" spans="1:16">
      <c r="A779" s="1" t="s">
        <v>791</v>
      </c>
      <c r="B779" s="1" t="s">
        <v>731</v>
      </c>
      <c r="C779" s="1">
        <v>1994</v>
      </c>
      <c r="D779" s="1" t="s">
        <v>1715</v>
      </c>
      <c r="E779" s="17">
        <v>34543</v>
      </c>
      <c r="F779" s="18" t="str">
        <f t="shared" si="12"/>
        <v>PEPE1994_Julio</v>
      </c>
      <c r="G779" s="1" t="s">
        <v>1447</v>
      </c>
      <c r="H779" s="3">
        <v>2.8430555555555554</v>
      </c>
      <c r="I779" s="3">
        <v>-77.834999999999994</v>
      </c>
      <c r="J779" s="12">
        <v>26</v>
      </c>
      <c r="K779" s="12">
        <v>29.2</v>
      </c>
      <c r="L779" s="4">
        <v>240.70021881838073</v>
      </c>
      <c r="M779" s="5">
        <v>768</v>
      </c>
      <c r="N779" s="5">
        <v>27</v>
      </c>
      <c r="O779" s="5">
        <v>99.4</v>
      </c>
      <c r="P779" s="5">
        <v>10.200000000000001</v>
      </c>
    </row>
    <row r="780" spans="1:16">
      <c r="A780" s="1" t="s">
        <v>792</v>
      </c>
      <c r="B780" s="1" t="s">
        <v>731</v>
      </c>
      <c r="C780" s="1">
        <v>1994</v>
      </c>
      <c r="D780" s="1" t="s">
        <v>1715</v>
      </c>
      <c r="E780" s="17">
        <v>34544</v>
      </c>
      <c r="F780" s="18" t="str">
        <f t="shared" si="12"/>
        <v>PEPE1994_Julio</v>
      </c>
      <c r="G780" s="1" t="s">
        <v>1626</v>
      </c>
      <c r="H780" s="3">
        <v>2.6969444444444446</v>
      </c>
      <c r="I780" s="3">
        <v>-78.208611111111111</v>
      </c>
      <c r="J780" s="12">
        <v>31</v>
      </c>
      <c r="K780" s="12">
        <v>27.2</v>
      </c>
      <c r="L780" s="4">
        <v>107.79961953075461</v>
      </c>
      <c r="M780" s="5">
        <v>94</v>
      </c>
      <c r="N780" s="5">
        <v>153</v>
      </c>
      <c r="O780" s="5">
        <v>18.400000000000002</v>
      </c>
      <c r="P780" s="5">
        <v>91.100000000000009</v>
      </c>
    </row>
    <row r="781" spans="1:16">
      <c r="A781" s="1" t="s">
        <v>793</v>
      </c>
      <c r="B781" s="1" t="s">
        <v>731</v>
      </c>
      <c r="C781" s="1">
        <v>1994</v>
      </c>
      <c r="D781" s="1" t="s">
        <v>1715</v>
      </c>
      <c r="E781" s="17">
        <v>34543</v>
      </c>
      <c r="F781" s="18" t="str">
        <f t="shared" si="12"/>
        <v>PEPE1994_Julio</v>
      </c>
      <c r="G781" s="1" t="s">
        <v>1603</v>
      </c>
      <c r="H781" s="3">
        <v>2.6922222222222221</v>
      </c>
      <c r="I781" s="3">
        <v>-77.959166666666675</v>
      </c>
      <c r="J781" s="12">
        <v>26</v>
      </c>
      <c r="K781" s="12">
        <v>28.3</v>
      </c>
      <c r="L781" s="4">
        <v>885.9357696566999</v>
      </c>
      <c r="M781" s="5">
        <v>175</v>
      </c>
      <c r="N781" s="5">
        <v>67</v>
      </c>
      <c r="O781" s="5">
        <v>122</v>
      </c>
      <c r="P781" s="5">
        <v>26.5</v>
      </c>
    </row>
    <row r="782" spans="1:16">
      <c r="A782" s="1" t="s">
        <v>794</v>
      </c>
      <c r="B782" s="1" t="s">
        <v>731</v>
      </c>
      <c r="C782" s="1">
        <v>1994</v>
      </c>
      <c r="D782" s="1" t="s">
        <v>1715</v>
      </c>
      <c r="E782" s="17">
        <v>34543</v>
      </c>
      <c r="F782" s="18" t="str">
        <f t="shared" si="12"/>
        <v>PEPE1994_Julio</v>
      </c>
      <c r="G782" s="1" t="s">
        <v>1604</v>
      </c>
      <c r="H782" s="3">
        <v>2.6274999999999999</v>
      </c>
      <c r="I782" s="3">
        <v>-77.94</v>
      </c>
      <c r="J782" s="12">
        <v>22</v>
      </c>
      <c r="K782" s="12">
        <v>28.5</v>
      </c>
      <c r="L782" s="4">
        <v>322.23415682062301</v>
      </c>
      <c r="M782" s="5">
        <v>59</v>
      </c>
      <c r="N782" s="5">
        <v>59</v>
      </c>
      <c r="O782" s="5">
        <v>8.2000000000000011</v>
      </c>
      <c r="P782" s="5">
        <v>36.6</v>
      </c>
    </row>
    <row r="783" spans="1:16">
      <c r="A783" s="1" t="s">
        <v>795</v>
      </c>
      <c r="B783" s="1" t="s">
        <v>731</v>
      </c>
      <c r="C783" s="1">
        <v>1994</v>
      </c>
      <c r="D783" s="1" t="s">
        <v>1715</v>
      </c>
      <c r="E783" s="17">
        <v>34544</v>
      </c>
      <c r="F783" s="18" t="str">
        <f t="shared" si="12"/>
        <v>PEPE1994_Julio</v>
      </c>
      <c r="G783" s="1" t="s">
        <v>1635</v>
      </c>
      <c r="H783" s="3">
        <v>2.7263888888888892</v>
      </c>
      <c r="I783" s="3">
        <v>-77.818055555555546</v>
      </c>
      <c r="J783" s="12">
        <v>24</v>
      </c>
      <c r="K783" s="12">
        <v>27.4</v>
      </c>
      <c r="L783" s="4">
        <v>1174.9347258485641</v>
      </c>
      <c r="M783" s="5">
        <v>396</v>
      </c>
      <c r="N783" s="5">
        <v>37</v>
      </c>
      <c r="O783" s="5">
        <v>288</v>
      </c>
      <c r="P783" s="5">
        <v>10.200000000000001</v>
      </c>
    </row>
    <row r="784" spans="1:16">
      <c r="A784" s="1" t="s">
        <v>796</v>
      </c>
      <c r="B784" s="1" t="s">
        <v>731</v>
      </c>
      <c r="C784" s="1">
        <v>1994</v>
      </c>
      <c r="D784" s="1" t="s">
        <v>1715</v>
      </c>
      <c r="E784" s="17">
        <v>34545</v>
      </c>
      <c r="F784" s="18" t="str">
        <f t="shared" si="12"/>
        <v>PEPE1994_Julio</v>
      </c>
      <c r="G784" s="1" t="s">
        <v>1565</v>
      </c>
      <c r="H784" s="3">
        <v>2.6869444444444444</v>
      </c>
      <c r="I784" s="3">
        <v>-78.360277777777767</v>
      </c>
      <c r="J784" s="12">
        <v>31</v>
      </c>
      <c r="K784" s="12">
        <v>26.7</v>
      </c>
      <c r="L784" s="4">
        <v>79.365079365079367</v>
      </c>
      <c r="M784" s="5">
        <v>175</v>
      </c>
      <c r="N784" s="5">
        <v>81</v>
      </c>
      <c r="O784" s="5">
        <v>16.600000000000001</v>
      </c>
      <c r="P784" s="5">
        <v>9.6000000000000014</v>
      </c>
    </row>
    <row r="785" spans="1:16">
      <c r="A785" s="1" t="s">
        <v>797</v>
      </c>
      <c r="B785" s="1" t="s">
        <v>731</v>
      </c>
      <c r="C785" s="1">
        <v>1994</v>
      </c>
      <c r="D785" s="1" t="s">
        <v>1715</v>
      </c>
      <c r="E785" s="17">
        <v>34545</v>
      </c>
      <c r="F785" s="18" t="str">
        <f t="shared" si="12"/>
        <v>PEPE1994_Julio</v>
      </c>
      <c r="G785" s="1" t="s">
        <v>1522</v>
      </c>
      <c r="H785" s="3">
        <v>2.6666666666666665</v>
      </c>
      <c r="I785" s="3">
        <v>-78.447777777777787</v>
      </c>
      <c r="J785" s="12">
        <v>34</v>
      </c>
      <c r="K785" s="12">
        <v>26.9</v>
      </c>
      <c r="L785" s="4">
        <v>271.3891444342226</v>
      </c>
      <c r="M785" s="5">
        <v>387</v>
      </c>
      <c r="N785" s="5">
        <v>2382</v>
      </c>
      <c r="O785" s="5">
        <v>10.4</v>
      </c>
      <c r="P785" s="5">
        <v>1049.1000000000001</v>
      </c>
    </row>
    <row r="786" spans="1:16">
      <c r="A786" s="1" t="s">
        <v>798</v>
      </c>
      <c r="B786" s="1" t="s">
        <v>731</v>
      </c>
      <c r="C786" s="1">
        <v>1994</v>
      </c>
      <c r="D786" s="1" t="s">
        <v>1715</v>
      </c>
      <c r="E786" s="17">
        <v>34545</v>
      </c>
      <c r="F786" s="18" t="str">
        <f t="shared" si="12"/>
        <v>PEPE1994_Julio</v>
      </c>
      <c r="G786" s="1" t="s">
        <v>1456</v>
      </c>
      <c r="H786" s="3">
        <v>2.5077777777777777</v>
      </c>
      <c r="I786" s="3">
        <v>-78.566666666666663</v>
      </c>
      <c r="J786" s="12">
        <v>32</v>
      </c>
      <c r="K786" s="12">
        <v>26.9</v>
      </c>
      <c r="L786" s="4">
        <v>176.99115044247787</v>
      </c>
      <c r="M786" s="5">
        <v>72</v>
      </c>
      <c r="N786" s="5">
        <v>139</v>
      </c>
      <c r="O786" s="5">
        <v>9.2000000000000011</v>
      </c>
      <c r="P786" s="5">
        <v>67.3</v>
      </c>
    </row>
    <row r="787" spans="1:16">
      <c r="A787" s="1" t="s">
        <v>799</v>
      </c>
      <c r="B787" s="1" t="s">
        <v>731</v>
      </c>
      <c r="C787" s="1">
        <v>1994</v>
      </c>
      <c r="D787" s="1" t="s">
        <v>1715</v>
      </c>
      <c r="E787" s="17">
        <v>34545</v>
      </c>
      <c r="F787" s="18" t="str">
        <f t="shared" si="12"/>
        <v>PEPE1994_Julio</v>
      </c>
      <c r="G787" s="1" t="s">
        <v>1569</v>
      </c>
      <c r="H787" s="3">
        <v>2.3602777777777781</v>
      </c>
      <c r="I787" s="3">
        <v>-78.650277777777788</v>
      </c>
      <c r="J787" s="12">
        <v>28</v>
      </c>
      <c r="K787" s="12">
        <v>26.6</v>
      </c>
      <c r="L787" s="4">
        <v>268.94865525672373</v>
      </c>
      <c r="M787" s="5">
        <v>308</v>
      </c>
      <c r="N787" s="5">
        <v>944</v>
      </c>
      <c r="O787" s="5">
        <v>176.39999999999998</v>
      </c>
      <c r="P787" s="5">
        <v>494.2</v>
      </c>
    </row>
    <row r="788" spans="1:16">
      <c r="A788" s="1" t="s">
        <v>800</v>
      </c>
      <c r="B788" s="1" t="s">
        <v>731</v>
      </c>
      <c r="C788" s="1">
        <v>1994</v>
      </c>
      <c r="D788" s="1" t="s">
        <v>1715</v>
      </c>
      <c r="E788" s="17">
        <v>34545</v>
      </c>
      <c r="F788" s="18" t="str">
        <f t="shared" si="12"/>
        <v>PEPE1994_Julio</v>
      </c>
      <c r="G788" s="1" t="s">
        <v>1462</v>
      </c>
      <c r="H788" s="3">
        <v>2.3341666666666669</v>
      </c>
      <c r="I788" s="3">
        <v>-78.737222222222229</v>
      </c>
      <c r="J788" s="12">
        <v>34</v>
      </c>
      <c r="K788" s="12">
        <v>26.7</v>
      </c>
      <c r="L788" s="4">
        <v>403.67483296213811</v>
      </c>
      <c r="M788" s="5">
        <v>368</v>
      </c>
      <c r="N788" s="5">
        <v>1378</v>
      </c>
      <c r="O788" s="5">
        <v>20</v>
      </c>
      <c r="P788" s="5">
        <v>47.5</v>
      </c>
    </row>
    <row r="789" spans="1:16">
      <c r="A789" s="1" t="s">
        <v>801</v>
      </c>
      <c r="B789" s="1" t="s">
        <v>731</v>
      </c>
      <c r="C789" s="1">
        <v>1994</v>
      </c>
      <c r="D789" s="1" t="s">
        <v>1715</v>
      </c>
      <c r="E789" s="17">
        <v>34545</v>
      </c>
      <c r="F789" s="18" t="str">
        <f t="shared" si="12"/>
        <v>PEPE1994_Julio</v>
      </c>
      <c r="G789" s="1" t="s">
        <v>1463</v>
      </c>
      <c r="H789" s="3">
        <v>2.3369444444444447</v>
      </c>
      <c r="I789" s="3">
        <v>-78.801666666666662</v>
      </c>
      <c r="J789" s="12">
        <v>34</v>
      </c>
      <c r="K789" s="12">
        <v>26.8</v>
      </c>
      <c r="L789" s="4">
        <v>418.80969875091847</v>
      </c>
      <c r="M789" s="5">
        <v>449</v>
      </c>
      <c r="N789" s="5">
        <v>1823</v>
      </c>
      <c r="O789" s="5">
        <v>247.8</v>
      </c>
      <c r="P789" s="5">
        <v>21</v>
      </c>
    </row>
    <row r="790" spans="1:16">
      <c r="A790" s="1" t="s">
        <v>802</v>
      </c>
      <c r="B790" s="1" t="s">
        <v>731</v>
      </c>
      <c r="C790" s="1">
        <v>1994</v>
      </c>
      <c r="D790" s="1" t="s">
        <v>1715</v>
      </c>
      <c r="E790" s="17">
        <v>34545</v>
      </c>
      <c r="F790" s="18" t="str">
        <f t="shared" si="12"/>
        <v>PEPE1994_Julio</v>
      </c>
      <c r="G790" s="1" t="s">
        <v>1466</v>
      </c>
      <c r="H790" s="3">
        <v>2.1677777777777778</v>
      </c>
      <c r="I790" s="3">
        <v>-78.728333333333339</v>
      </c>
      <c r="J790" s="12">
        <v>30</v>
      </c>
      <c r="K790" s="12">
        <v>26.8</v>
      </c>
      <c r="L790" s="4">
        <v>342.20532319391634</v>
      </c>
      <c r="M790" s="5">
        <v>121</v>
      </c>
      <c r="N790" s="5">
        <v>1910</v>
      </c>
      <c r="O790" s="5">
        <v>32.800000000000004</v>
      </c>
      <c r="P790" s="5">
        <v>1148.8</v>
      </c>
    </row>
    <row r="791" spans="1:16">
      <c r="A791" s="1" t="s">
        <v>803</v>
      </c>
      <c r="B791" s="1" t="s">
        <v>731</v>
      </c>
      <c r="C791" s="1">
        <v>1994</v>
      </c>
      <c r="D791" s="1" t="s">
        <v>1715</v>
      </c>
      <c r="E791" s="17">
        <v>34546</v>
      </c>
      <c r="F791" s="18" t="str">
        <f t="shared" si="12"/>
        <v>PEPE1994_Julio</v>
      </c>
      <c r="G791" s="1" t="s">
        <v>1605</v>
      </c>
      <c r="H791" s="3">
        <v>1.9755555555555557</v>
      </c>
      <c r="I791" s="3">
        <v>-78.649722222222223</v>
      </c>
      <c r="J791" s="12">
        <v>32</v>
      </c>
      <c r="K791" s="12">
        <v>27</v>
      </c>
      <c r="L791" s="4">
        <v>129.87012987012986</v>
      </c>
      <c r="M791" s="5">
        <v>356</v>
      </c>
      <c r="N791" s="5">
        <v>149</v>
      </c>
      <c r="O791" s="5">
        <v>184.5</v>
      </c>
      <c r="P791" s="5">
        <v>76.5</v>
      </c>
    </row>
    <row r="792" spans="1:16">
      <c r="A792" s="1" t="s">
        <v>804</v>
      </c>
      <c r="B792" s="1" t="s">
        <v>731</v>
      </c>
      <c r="C792" s="1">
        <v>1994</v>
      </c>
      <c r="D792" s="1" t="s">
        <v>1715</v>
      </c>
      <c r="E792" s="17">
        <v>34546</v>
      </c>
      <c r="F792" s="18" t="str">
        <f t="shared" si="12"/>
        <v>PEPE1994_Julio</v>
      </c>
      <c r="G792" s="1" t="s">
        <v>1606</v>
      </c>
      <c r="H792" s="3">
        <v>1.885</v>
      </c>
      <c r="I792" s="3">
        <v>-78.595277777777767</v>
      </c>
      <c r="J792" s="12">
        <v>29</v>
      </c>
      <c r="K792" s="12">
        <v>26.5</v>
      </c>
      <c r="L792" s="4">
        <v>1676.6467065868264</v>
      </c>
      <c r="M792" s="5">
        <v>31</v>
      </c>
      <c r="N792" s="5">
        <v>32</v>
      </c>
      <c r="O792" s="5">
        <v>6.2</v>
      </c>
      <c r="P792" s="5">
        <v>25.3</v>
      </c>
    </row>
    <row r="793" spans="1:16">
      <c r="A793" s="1" t="s">
        <v>805</v>
      </c>
      <c r="B793" s="1" t="s">
        <v>731</v>
      </c>
      <c r="C793" s="1">
        <v>1994</v>
      </c>
      <c r="D793" s="1" t="s">
        <v>1715</v>
      </c>
      <c r="E793" s="17">
        <v>34547</v>
      </c>
      <c r="F793" s="18" t="str">
        <f t="shared" si="12"/>
        <v>PEPE1994_Julio</v>
      </c>
      <c r="G793" s="1" t="s">
        <v>1628</v>
      </c>
      <c r="H793" s="3">
        <v>1.8033333333333332</v>
      </c>
      <c r="I793" s="3">
        <v>-78.601666666666659</v>
      </c>
      <c r="J793" s="12">
        <v>31</v>
      </c>
      <c r="K793" s="12">
        <v>27.2</v>
      </c>
      <c r="L793" s="4">
        <v>258.73221216041401</v>
      </c>
      <c r="M793" s="5">
        <v>8</v>
      </c>
      <c r="N793" s="5">
        <v>91</v>
      </c>
      <c r="O793" s="5">
        <v>0</v>
      </c>
      <c r="P793" s="5">
        <v>12.4</v>
      </c>
    </row>
    <row r="794" spans="1:16">
      <c r="A794" s="1" t="s">
        <v>806</v>
      </c>
      <c r="B794" s="1" t="s">
        <v>731</v>
      </c>
      <c r="C794" s="1">
        <v>1994</v>
      </c>
      <c r="D794" s="1" t="s">
        <v>1715</v>
      </c>
      <c r="E794" s="17">
        <v>34547</v>
      </c>
      <c r="F794" s="18" t="str">
        <f t="shared" si="12"/>
        <v>PEPE1994_Julio</v>
      </c>
      <c r="G794" s="1" t="s">
        <v>1607</v>
      </c>
      <c r="H794" s="3">
        <v>1.8466666666666669</v>
      </c>
      <c r="I794" s="3">
        <v>-78.708333333333343</v>
      </c>
      <c r="J794" s="12">
        <v>34</v>
      </c>
      <c r="K794" s="12">
        <v>27.1</v>
      </c>
      <c r="L794" s="4">
        <v>106.00706713780919</v>
      </c>
      <c r="M794" s="5">
        <v>12</v>
      </c>
      <c r="N794" s="5">
        <v>15</v>
      </c>
      <c r="O794" s="5">
        <v>1.6</v>
      </c>
      <c r="P794" s="5">
        <v>4.8000000000000007</v>
      </c>
    </row>
    <row r="795" spans="1:16">
      <c r="A795" s="1" t="s">
        <v>807</v>
      </c>
      <c r="B795" s="1" t="s">
        <v>731</v>
      </c>
      <c r="C795" s="1">
        <v>1994</v>
      </c>
      <c r="D795" s="1" t="s">
        <v>1715</v>
      </c>
      <c r="E795" s="17">
        <v>34545</v>
      </c>
      <c r="F795" s="18" t="str">
        <f t="shared" si="12"/>
        <v>PEPE1994_Julio</v>
      </c>
      <c r="G795" s="1" t="s">
        <v>1471</v>
      </c>
      <c r="H795" s="3">
        <v>2.0008333333333335</v>
      </c>
      <c r="I795" s="3">
        <v>-78.688055555555565</v>
      </c>
      <c r="J795" s="12">
        <v>32</v>
      </c>
      <c r="K795" s="12">
        <v>26.9</v>
      </c>
      <c r="L795" s="4">
        <v>138.19095477386935</v>
      </c>
      <c r="M795" s="5">
        <v>1687</v>
      </c>
      <c r="N795" s="5">
        <v>83</v>
      </c>
      <c r="O795" s="5">
        <v>665.69999999999993</v>
      </c>
      <c r="P795" s="5">
        <v>49.699999999999996</v>
      </c>
    </row>
    <row r="796" spans="1:16">
      <c r="A796" s="1" t="s">
        <v>808</v>
      </c>
      <c r="B796" s="1" t="s">
        <v>731</v>
      </c>
      <c r="C796" s="1">
        <v>1994</v>
      </c>
      <c r="D796" s="1" t="s">
        <v>1715</v>
      </c>
      <c r="E796" s="17">
        <v>34545</v>
      </c>
      <c r="F796" s="18" t="str">
        <f t="shared" si="12"/>
        <v>PEPE1994_Julio</v>
      </c>
      <c r="G796" s="1" t="s">
        <v>1472</v>
      </c>
      <c r="H796" s="3">
        <v>2.0100000000000002</v>
      </c>
      <c r="I796" s="3">
        <v>-78.755833333333328</v>
      </c>
      <c r="J796" s="12">
        <v>32</v>
      </c>
      <c r="K796" s="12">
        <v>26.5</v>
      </c>
      <c r="L796" s="4">
        <v>3913.04347826087</v>
      </c>
      <c r="M796" s="5">
        <v>231</v>
      </c>
      <c r="N796" s="5">
        <v>2218</v>
      </c>
      <c r="O796" s="5">
        <v>0</v>
      </c>
      <c r="P796" s="5">
        <v>831.6</v>
      </c>
    </row>
    <row r="797" spans="1:16">
      <c r="A797" s="1" t="s">
        <v>809</v>
      </c>
      <c r="B797" s="1" t="s">
        <v>731</v>
      </c>
      <c r="C797" s="1">
        <v>1994</v>
      </c>
      <c r="D797" s="1" t="s">
        <v>1715</v>
      </c>
      <c r="E797" s="17">
        <v>34545</v>
      </c>
      <c r="F797" s="18" t="str">
        <f t="shared" si="12"/>
        <v>PEPE1994_Julio</v>
      </c>
      <c r="G797" s="1" t="s">
        <v>1473</v>
      </c>
      <c r="H797" s="3">
        <v>2</v>
      </c>
      <c r="I797" s="3">
        <v>-78.840555555555554</v>
      </c>
      <c r="J797" s="12">
        <v>32</v>
      </c>
      <c r="K797" s="12">
        <v>26.2</v>
      </c>
      <c r="L797" s="4">
        <v>377.5167785234899</v>
      </c>
      <c r="M797" s="5">
        <v>179</v>
      </c>
      <c r="N797" s="5">
        <v>2106</v>
      </c>
      <c r="O797" s="5">
        <v>5.6</v>
      </c>
      <c r="P797" s="5">
        <v>128.79999999999998</v>
      </c>
    </row>
    <row r="798" spans="1:16">
      <c r="A798" s="1" t="s">
        <v>810</v>
      </c>
      <c r="B798" s="1" t="s">
        <v>731</v>
      </c>
      <c r="C798" s="1">
        <v>1994</v>
      </c>
      <c r="D798" s="1" t="s">
        <v>1715</v>
      </c>
      <c r="E798" s="17">
        <v>34547</v>
      </c>
      <c r="F798" s="18" t="str">
        <f t="shared" si="12"/>
        <v>PEPE1994_Julio</v>
      </c>
      <c r="G798" s="1" t="s">
        <v>1477</v>
      </c>
      <c r="H798" s="3">
        <v>1.8511111111111112</v>
      </c>
      <c r="I798" s="3">
        <v>-78.756388888888893</v>
      </c>
      <c r="J798" s="12">
        <v>35</v>
      </c>
      <c r="K798" s="12">
        <v>26.8</v>
      </c>
      <c r="L798" s="4">
        <v>362.31884057971018</v>
      </c>
      <c r="M798" s="5">
        <v>346</v>
      </c>
      <c r="N798" s="5">
        <v>138</v>
      </c>
      <c r="O798" s="5">
        <v>40.400000000000006</v>
      </c>
      <c r="P798" s="5">
        <v>67</v>
      </c>
    </row>
    <row r="799" spans="1:16">
      <c r="A799" s="1" t="s">
        <v>811</v>
      </c>
      <c r="B799" s="1" t="s">
        <v>731</v>
      </c>
      <c r="C799" s="1">
        <v>1994</v>
      </c>
      <c r="D799" s="1" t="s">
        <v>1715</v>
      </c>
      <c r="E799" s="17">
        <v>34547</v>
      </c>
      <c r="F799" s="18" t="str">
        <f t="shared" si="12"/>
        <v>PEPE1994_Julio</v>
      </c>
      <c r="G799" s="1" t="s">
        <v>1478</v>
      </c>
      <c r="H799" s="3">
        <v>1.8347222222222224</v>
      </c>
      <c r="I799" s="3">
        <v>-78.819722222222225</v>
      </c>
      <c r="J799" s="12">
        <v>33</v>
      </c>
      <c r="K799" s="12">
        <v>26.9</v>
      </c>
      <c r="L799" s="4">
        <v>499.16805324459233</v>
      </c>
      <c r="M799" s="5">
        <v>87</v>
      </c>
      <c r="N799" s="5">
        <v>182</v>
      </c>
      <c r="O799" s="5">
        <v>22.400000000000002</v>
      </c>
      <c r="P799" s="5">
        <v>139.20000000000002</v>
      </c>
    </row>
    <row r="800" spans="1:16">
      <c r="A800" s="1" t="s">
        <v>812</v>
      </c>
      <c r="B800" s="1" t="s">
        <v>731</v>
      </c>
      <c r="C800" s="1">
        <v>1994</v>
      </c>
      <c r="D800" s="1" t="s">
        <v>1715</v>
      </c>
      <c r="E800" s="17">
        <v>34547</v>
      </c>
      <c r="F800" s="18" t="str">
        <f t="shared" si="12"/>
        <v>PEPE1994_Julio</v>
      </c>
      <c r="G800" s="1" t="s">
        <v>1479</v>
      </c>
      <c r="H800" s="3">
        <v>1.8341666666666667</v>
      </c>
      <c r="I800" s="3">
        <v>-78.906944444444449</v>
      </c>
      <c r="J800" s="12">
        <v>34</v>
      </c>
      <c r="K800" s="12">
        <v>26.5</v>
      </c>
      <c r="L800" s="4">
        <v>323.5440517670483</v>
      </c>
      <c r="M800" s="5">
        <v>58</v>
      </c>
      <c r="N800" s="5">
        <v>738</v>
      </c>
      <c r="O800" s="5">
        <v>2</v>
      </c>
      <c r="P800" s="5">
        <v>146</v>
      </c>
    </row>
    <row r="801" spans="1:16">
      <c r="A801" s="1" t="s">
        <v>813</v>
      </c>
      <c r="B801" s="1" t="s">
        <v>731</v>
      </c>
      <c r="C801" s="1">
        <v>1994</v>
      </c>
      <c r="D801" s="1" t="s">
        <v>1715</v>
      </c>
      <c r="E801" s="17">
        <v>34547</v>
      </c>
      <c r="F801" s="18" t="str">
        <f t="shared" si="12"/>
        <v>PEPE1994_Julio</v>
      </c>
      <c r="G801" s="1" t="s">
        <v>1576</v>
      </c>
      <c r="H801" s="3">
        <v>1.6666666666666665</v>
      </c>
      <c r="I801" s="3">
        <v>-79.023333333333326</v>
      </c>
      <c r="J801" s="12">
        <v>32</v>
      </c>
      <c r="K801" s="12">
        <v>26.2</v>
      </c>
      <c r="L801" s="4">
        <v>666.66666666666663</v>
      </c>
      <c r="M801" s="5">
        <v>450</v>
      </c>
      <c r="N801" s="5">
        <v>2425</v>
      </c>
      <c r="O801" s="5">
        <v>12.5</v>
      </c>
      <c r="P801" s="5">
        <v>575</v>
      </c>
    </row>
    <row r="802" spans="1:16">
      <c r="A802" s="1" t="s">
        <v>814</v>
      </c>
      <c r="B802" s="1" t="s">
        <v>731</v>
      </c>
      <c r="C802" s="1">
        <v>1994</v>
      </c>
      <c r="D802" s="1" t="s">
        <v>1715</v>
      </c>
      <c r="E802" s="17">
        <v>34547</v>
      </c>
      <c r="F802" s="18" t="str">
        <f t="shared" si="12"/>
        <v>PEPE1994_Julio</v>
      </c>
      <c r="G802" s="1" t="s">
        <v>1528</v>
      </c>
      <c r="H802" s="3">
        <v>1.5024999999999999</v>
      </c>
      <c r="I802" s="3">
        <v>-78.924166666666679</v>
      </c>
      <c r="J802" s="12">
        <v>29</v>
      </c>
      <c r="K802" s="12">
        <v>26</v>
      </c>
      <c r="L802" s="4">
        <v>212.17712177121771</v>
      </c>
      <c r="M802" s="5">
        <v>15</v>
      </c>
      <c r="N802" s="5">
        <v>22</v>
      </c>
      <c r="O802" s="5">
        <v>0</v>
      </c>
      <c r="P802" s="5">
        <v>16.5</v>
      </c>
    </row>
    <row r="803" spans="1:16">
      <c r="A803" s="1" t="s">
        <v>815</v>
      </c>
      <c r="B803" s="1" t="s">
        <v>731</v>
      </c>
      <c r="C803" s="1">
        <v>1994</v>
      </c>
      <c r="D803" s="1" t="s">
        <v>1715</v>
      </c>
      <c r="E803" s="17">
        <v>34547</v>
      </c>
      <c r="F803" s="18" t="str">
        <f t="shared" si="12"/>
        <v>PEPE1994_Julio</v>
      </c>
      <c r="G803" s="1" t="s">
        <v>1487</v>
      </c>
      <c r="H803" s="3">
        <v>1.5013888888888889</v>
      </c>
      <c r="I803" s="3">
        <v>-78.962500000000006</v>
      </c>
      <c r="J803" s="12">
        <v>30</v>
      </c>
      <c r="K803" s="12">
        <v>26.2</v>
      </c>
      <c r="L803" s="4">
        <v>535.37284894837478</v>
      </c>
      <c r="M803" s="5">
        <v>13</v>
      </c>
      <c r="N803" s="5">
        <v>408</v>
      </c>
      <c r="O803" s="5">
        <v>0.5</v>
      </c>
      <c r="P803" s="5">
        <v>207.5</v>
      </c>
    </row>
    <row r="804" spans="1:16">
      <c r="A804" s="1" t="s">
        <v>816</v>
      </c>
      <c r="B804" s="1" t="s">
        <v>731</v>
      </c>
      <c r="C804" s="1">
        <v>1994</v>
      </c>
      <c r="D804" s="1" t="s">
        <v>1715</v>
      </c>
      <c r="E804" s="17">
        <v>34547</v>
      </c>
      <c r="F804" s="18" t="str">
        <f t="shared" si="12"/>
        <v>PEPE1994_Julio</v>
      </c>
      <c r="G804" s="1" t="s">
        <v>1488</v>
      </c>
      <c r="H804" s="3">
        <v>1.5083333333333333</v>
      </c>
      <c r="I804" s="3">
        <v>-79.041111111111107</v>
      </c>
      <c r="J804" s="12">
        <v>35</v>
      </c>
      <c r="K804" s="12">
        <v>26.4</v>
      </c>
      <c r="L804" s="4">
        <v>440.39735099337747</v>
      </c>
      <c r="M804" s="5">
        <v>132</v>
      </c>
      <c r="N804" s="5">
        <v>3251</v>
      </c>
      <c r="O804" s="5">
        <v>18.899999999999999</v>
      </c>
      <c r="P804" s="5">
        <v>793.8</v>
      </c>
    </row>
    <row r="805" spans="1:16">
      <c r="A805" s="1" t="s">
        <v>817</v>
      </c>
      <c r="B805" s="1" t="s">
        <v>731</v>
      </c>
      <c r="C805" s="1">
        <v>1994</v>
      </c>
      <c r="D805" s="1" t="s">
        <v>1715</v>
      </c>
      <c r="E805" s="17">
        <v>34548</v>
      </c>
      <c r="F805" s="18" t="str">
        <f t="shared" si="12"/>
        <v>PEPE1994_Julio</v>
      </c>
      <c r="G805" s="1" t="s">
        <v>1636</v>
      </c>
      <c r="H805" s="3">
        <v>2.963888888888889</v>
      </c>
      <c r="I805" s="3">
        <v>-78.171666666666667</v>
      </c>
      <c r="J805" s="12">
        <v>31</v>
      </c>
      <c r="K805" s="12">
        <v>26.8</v>
      </c>
      <c r="L805" s="4">
        <v>361.247947454844</v>
      </c>
      <c r="M805" s="5">
        <v>645</v>
      </c>
      <c r="N805" s="5">
        <v>2778</v>
      </c>
      <c r="O805" s="5">
        <v>0</v>
      </c>
      <c r="P805" s="5">
        <v>849.4</v>
      </c>
    </row>
    <row r="806" spans="1:16">
      <c r="A806" s="1" t="s">
        <v>818</v>
      </c>
      <c r="B806" s="1" t="s">
        <v>731</v>
      </c>
      <c r="C806" s="1">
        <v>1994</v>
      </c>
      <c r="D806" s="1" t="s">
        <v>1715</v>
      </c>
      <c r="E806" s="17">
        <v>34548</v>
      </c>
      <c r="F806" s="18" t="str">
        <f t="shared" si="12"/>
        <v>PEPE1994_Julio</v>
      </c>
      <c r="G806" s="1" t="s">
        <v>1637</v>
      </c>
      <c r="H806" s="3">
        <v>2.9855555555555555</v>
      </c>
      <c r="I806" s="3">
        <v>-78.168888888888901</v>
      </c>
      <c r="J806" s="12">
        <v>31</v>
      </c>
      <c r="K806" s="12">
        <v>26.3</v>
      </c>
      <c r="L806" s="4">
        <v>372.34042553191489</v>
      </c>
      <c r="M806" s="5">
        <v>696</v>
      </c>
      <c r="N806" s="5">
        <v>2494</v>
      </c>
      <c r="O806" s="5">
        <v>0</v>
      </c>
      <c r="P806" s="5">
        <v>145</v>
      </c>
    </row>
    <row r="807" spans="1:16">
      <c r="A807" s="1" t="s">
        <v>819</v>
      </c>
      <c r="B807" s="1" t="s">
        <v>731</v>
      </c>
      <c r="C807" s="1">
        <v>1994</v>
      </c>
      <c r="D807" s="1" t="s">
        <v>1715</v>
      </c>
      <c r="E807" s="17">
        <v>34548</v>
      </c>
      <c r="F807" s="18" t="str">
        <f t="shared" si="12"/>
        <v>PEPE1994_Julio</v>
      </c>
      <c r="G807" s="1" t="s">
        <v>1610</v>
      </c>
      <c r="H807" s="3">
        <v>2.9688888888888889</v>
      </c>
      <c r="I807" s="3">
        <v>-78.166666666666671</v>
      </c>
      <c r="J807" s="12">
        <v>31</v>
      </c>
      <c r="K807" s="12">
        <v>27</v>
      </c>
      <c r="L807" s="4">
        <v>361.17381489841989</v>
      </c>
      <c r="M807" s="5">
        <v>1088</v>
      </c>
      <c r="N807" s="5">
        <v>1532</v>
      </c>
      <c r="O807" s="5">
        <v>29.6</v>
      </c>
      <c r="P807" s="5">
        <v>81.400000000000006</v>
      </c>
    </row>
    <row r="808" spans="1:16">
      <c r="A808" s="1" t="s">
        <v>820</v>
      </c>
      <c r="B808" s="1" t="s">
        <v>731</v>
      </c>
      <c r="C808" s="1">
        <v>1994</v>
      </c>
      <c r="D808" s="1" t="s">
        <v>1715</v>
      </c>
      <c r="E808" s="17">
        <v>34548</v>
      </c>
      <c r="F808" s="18" t="str">
        <f t="shared" si="12"/>
        <v>PEPE1994_Julio</v>
      </c>
      <c r="G808" s="1" t="s">
        <v>1611</v>
      </c>
      <c r="H808" s="3">
        <v>2.9913888888888889</v>
      </c>
      <c r="I808" s="3">
        <v>-78.166666666666671</v>
      </c>
      <c r="J808" s="12">
        <v>31</v>
      </c>
      <c r="K808" s="12">
        <v>27.2</v>
      </c>
      <c r="L808" s="4">
        <v>286.45833333333337</v>
      </c>
      <c r="M808" s="5">
        <v>532</v>
      </c>
      <c r="N808" s="5">
        <v>2195</v>
      </c>
      <c r="O808" s="5">
        <v>13.3</v>
      </c>
      <c r="P808" s="5">
        <v>199.5</v>
      </c>
    </row>
    <row r="809" spans="1:16">
      <c r="A809" s="1" t="s">
        <v>821</v>
      </c>
      <c r="B809" s="1" t="s">
        <v>731</v>
      </c>
      <c r="C809" s="1">
        <v>1994</v>
      </c>
      <c r="D809" s="1" t="s">
        <v>1715</v>
      </c>
      <c r="E809" s="17">
        <v>34548</v>
      </c>
      <c r="F809" s="18" t="str">
        <f t="shared" si="12"/>
        <v>PEPE1994_Julio</v>
      </c>
      <c r="G809" s="1" t="s">
        <v>1633</v>
      </c>
      <c r="H809" s="3">
        <v>3.0027777777777778</v>
      </c>
      <c r="I809" s="3">
        <v>-78.183333333333337</v>
      </c>
      <c r="J809" s="12">
        <v>32</v>
      </c>
      <c r="K809" s="12">
        <v>27.3</v>
      </c>
      <c r="L809" s="4">
        <v>359.28143712574848</v>
      </c>
      <c r="M809" s="5">
        <v>488</v>
      </c>
      <c r="N809" s="5">
        <v>689</v>
      </c>
      <c r="O809" s="5">
        <v>10.6</v>
      </c>
      <c r="P809" s="5">
        <v>63.599999999999994</v>
      </c>
    </row>
    <row r="810" spans="1:16">
      <c r="A810" s="1" t="s">
        <v>822</v>
      </c>
      <c r="B810" s="1" t="s">
        <v>731</v>
      </c>
      <c r="C810" s="1">
        <v>1994</v>
      </c>
      <c r="D810" s="1" t="s">
        <v>1715</v>
      </c>
      <c r="E810" s="17">
        <v>34548</v>
      </c>
      <c r="F810" s="18" t="str">
        <f t="shared" si="12"/>
        <v>PEPE1994_Julio</v>
      </c>
      <c r="G810" s="1" t="s">
        <v>1634</v>
      </c>
      <c r="H810" s="3">
        <v>2.9533333333333336</v>
      </c>
      <c r="I810" s="3">
        <v>-78.213611111111121</v>
      </c>
      <c r="J810" s="12">
        <v>33</v>
      </c>
      <c r="K810" s="12">
        <v>27.3</v>
      </c>
      <c r="L810" s="4">
        <v>284.43113772455092</v>
      </c>
      <c r="M810" s="5">
        <v>551</v>
      </c>
      <c r="N810" s="5">
        <v>364</v>
      </c>
      <c r="O810" s="5">
        <v>0</v>
      </c>
      <c r="P810" s="5">
        <v>30.599999999999998</v>
      </c>
    </row>
    <row r="811" spans="1:16">
      <c r="A811" s="1" t="s">
        <v>823</v>
      </c>
      <c r="B811" s="1" t="s">
        <v>731</v>
      </c>
      <c r="C811" s="1">
        <v>1994</v>
      </c>
      <c r="D811" s="1" t="s">
        <v>1715</v>
      </c>
      <c r="E811" s="17">
        <v>34548</v>
      </c>
      <c r="F811" s="18" t="str">
        <f t="shared" si="12"/>
        <v>PEPE1994_Julio</v>
      </c>
      <c r="G811" s="1" t="s">
        <v>1614</v>
      </c>
      <c r="H811" s="3">
        <v>2.9308333333333332</v>
      </c>
      <c r="I811" s="3">
        <v>-78.221666666666664</v>
      </c>
      <c r="J811" s="12">
        <v>35</v>
      </c>
      <c r="K811" s="12">
        <v>27.3</v>
      </c>
      <c r="L811" s="4">
        <v>317.79661016949149</v>
      </c>
      <c r="M811" s="5">
        <v>1263</v>
      </c>
      <c r="N811" s="5">
        <v>843</v>
      </c>
      <c r="O811" s="5">
        <v>22</v>
      </c>
      <c r="P811" s="5">
        <v>223</v>
      </c>
    </row>
    <row r="812" spans="1:16">
      <c r="A812" s="1" t="s">
        <v>824</v>
      </c>
      <c r="B812" s="1" t="s">
        <v>825</v>
      </c>
      <c r="C812" s="1">
        <v>1994</v>
      </c>
      <c r="D812" s="1" t="s">
        <v>1711</v>
      </c>
      <c r="E812" s="17">
        <v>34679</v>
      </c>
      <c r="F812" s="18" t="str">
        <f t="shared" si="12"/>
        <v>PEPE1994_Diciembre</v>
      </c>
      <c r="G812" s="1" t="s">
        <v>1342</v>
      </c>
      <c r="H812" s="3">
        <v>6.6191666666666675</v>
      </c>
      <c r="I812" s="3">
        <v>-77.533333333333331</v>
      </c>
      <c r="J812" s="12">
        <v>26</v>
      </c>
      <c r="K812" s="12">
        <v>27.6</v>
      </c>
      <c r="L812" s="4">
        <v>38.46</v>
      </c>
      <c r="M812" s="5">
        <v>0</v>
      </c>
      <c r="N812" s="5">
        <v>577</v>
      </c>
      <c r="O812" s="1">
        <v>0</v>
      </c>
      <c r="P812" s="5">
        <v>208.39000000000001</v>
      </c>
    </row>
    <row r="813" spans="1:16">
      <c r="A813" s="1" t="s">
        <v>826</v>
      </c>
      <c r="B813" s="1" t="s">
        <v>825</v>
      </c>
      <c r="C813" s="1">
        <v>1994</v>
      </c>
      <c r="D813" s="1" t="s">
        <v>1711</v>
      </c>
      <c r="E813" s="17">
        <v>34679</v>
      </c>
      <c r="F813" s="18" t="str">
        <f t="shared" si="12"/>
        <v>PEPE1994_Diciembre</v>
      </c>
      <c r="G813" s="1" t="s">
        <v>1343</v>
      </c>
      <c r="H813" s="3">
        <v>6.6258333333333326</v>
      </c>
      <c r="I813" s="3">
        <v>-77.606944444444437</v>
      </c>
      <c r="J813" s="12">
        <v>25</v>
      </c>
      <c r="K813" s="12">
        <v>27.3</v>
      </c>
      <c r="L813" s="4">
        <v>62.11180124223602</v>
      </c>
      <c r="M813" s="5">
        <v>0</v>
      </c>
      <c r="N813" s="5">
        <v>176</v>
      </c>
      <c r="O813" s="1">
        <v>0</v>
      </c>
      <c r="P813" s="5">
        <v>35.24</v>
      </c>
    </row>
    <row r="814" spans="1:16">
      <c r="A814" s="1" t="s">
        <v>827</v>
      </c>
      <c r="B814" s="1" t="s">
        <v>825</v>
      </c>
      <c r="C814" s="1">
        <v>1994</v>
      </c>
      <c r="D814" s="1" t="s">
        <v>1711</v>
      </c>
      <c r="E814" s="17">
        <v>34679</v>
      </c>
      <c r="F814" s="18" t="str">
        <f t="shared" si="12"/>
        <v>PEPE1994_Diciembre</v>
      </c>
      <c r="G814" s="1" t="s">
        <v>1493</v>
      </c>
      <c r="H814" s="3">
        <v>6.5</v>
      </c>
      <c r="I814" s="3">
        <v>-77.371111111111105</v>
      </c>
      <c r="J814" s="12">
        <v>25</v>
      </c>
      <c r="K814" s="12">
        <v>27.9</v>
      </c>
      <c r="L814" s="4">
        <v>54.05</v>
      </c>
      <c r="M814" s="5">
        <v>0</v>
      </c>
      <c r="N814" s="5">
        <v>582</v>
      </c>
      <c r="O814" s="1">
        <v>0</v>
      </c>
      <c r="P814" s="5">
        <v>32.31</v>
      </c>
    </row>
    <row r="815" spans="1:16">
      <c r="A815" s="1" t="s">
        <v>828</v>
      </c>
      <c r="B815" s="1" t="s">
        <v>825</v>
      </c>
      <c r="C815" s="1">
        <v>1994</v>
      </c>
      <c r="D815" s="1" t="s">
        <v>1711</v>
      </c>
      <c r="E815" s="17">
        <v>34679</v>
      </c>
      <c r="F815" s="18" t="str">
        <f t="shared" si="12"/>
        <v>PEPE1994_Diciembre</v>
      </c>
      <c r="G815" s="1" t="s">
        <v>1346</v>
      </c>
      <c r="H815" s="3">
        <v>6.3355555555555556</v>
      </c>
      <c r="I815" s="3">
        <v>-77.394722222222228</v>
      </c>
      <c r="J815" s="12">
        <v>25</v>
      </c>
      <c r="K815" s="12">
        <v>27.7</v>
      </c>
      <c r="L815" s="4">
        <v>93.75</v>
      </c>
      <c r="M815" s="5">
        <v>0</v>
      </c>
      <c r="N815" s="5">
        <v>87</v>
      </c>
      <c r="O815" s="1">
        <v>0</v>
      </c>
      <c r="P815" s="5">
        <v>21.67</v>
      </c>
    </row>
    <row r="816" spans="1:16">
      <c r="A816" s="1" t="s">
        <v>829</v>
      </c>
      <c r="B816" s="1" t="s">
        <v>825</v>
      </c>
      <c r="C816" s="1">
        <v>1994</v>
      </c>
      <c r="D816" s="1" t="s">
        <v>1711</v>
      </c>
      <c r="E816" s="17">
        <v>34679</v>
      </c>
      <c r="F816" s="18" t="str">
        <f t="shared" si="12"/>
        <v>PEPE1994_Diciembre</v>
      </c>
      <c r="G816" s="1" t="s">
        <v>1347</v>
      </c>
      <c r="H816" s="3">
        <v>6.3369444444444438</v>
      </c>
      <c r="I816" s="3">
        <v>-77.444166666666675</v>
      </c>
      <c r="J816" s="12">
        <v>26</v>
      </c>
      <c r="K816" s="12">
        <v>27.7</v>
      </c>
      <c r="L816" s="4">
        <v>50.761421319796959</v>
      </c>
      <c r="M816" s="5">
        <v>172</v>
      </c>
      <c r="N816" s="5">
        <v>123</v>
      </c>
      <c r="O816" s="5">
        <v>0</v>
      </c>
      <c r="P816" s="5">
        <v>24.53</v>
      </c>
    </row>
    <row r="817" spans="1:16">
      <c r="A817" s="1" t="s">
        <v>830</v>
      </c>
      <c r="B817" s="1" t="s">
        <v>825</v>
      </c>
      <c r="C817" s="1">
        <v>1994</v>
      </c>
      <c r="D817" s="1" t="s">
        <v>1711</v>
      </c>
      <c r="E817" s="17">
        <v>34679</v>
      </c>
      <c r="F817" s="18" t="str">
        <f t="shared" si="12"/>
        <v>PEPE1994_Diciembre</v>
      </c>
      <c r="G817" s="1" t="s">
        <v>1539</v>
      </c>
      <c r="H817" s="3">
        <v>6.3416666666666668</v>
      </c>
      <c r="I817" s="3">
        <v>-77.510555555555555</v>
      </c>
      <c r="J817" s="12">
        <v>26</v>
      </c>
      <c r="K817" s="12">
        <v>27.8</v>
      </c>
      <c r="L817" s="4">
        <v>50.76</v>
      </c>
      <c r="M817" s="5">
        <v>185</v>
      </c>
      <c r="N817" s="5">
        <v>616</v>
      </c>
      <c r="O817" s="5">
        <v>0</v>
      </c>
      <c r="P817" s="5">
        <v>30.79</v>
      </c>
    </row>
    <row r="818" spans="1:16">
      <c r="A818" s="1" t="s">
        <v>831</v>
      </c>
      <c r="B818" s="1" t="s">
        <v>825</v>
      </c>
      <c r="C818" s="1">
        <v>1994</v>
      </c>
      <c r="D818" s="1" t="s">
        <v>1711</v>
      </c>
      <c r="E818" s="17">
        <v>34680</v>
      </c>
      <c r="F818" s="18" t="str">
        <f t="shared" si="12"/>
        <v>PEPE1994_Diciembre</v>
      </c>
      <c r="G818" s="1" t="s">
        <v>1500</v>
      </c>
      <c r="H818" s="3">
        <v>6.166666666666667</v>
      </c>
      <c r="I818" s="3">
        <v>-77.492500000000007</v>
      </c>
      <c r="J818" s="12">
        <v>26</v>
      </c>
      <c r="K818" s="12">
        <v>27.2</v>
      </c>
      <c r="L818" s="4">
        <v>52.790346907993964</v>
      </c>
      <c r="M818" s="5">
        <v>235</v>
      </c>
      <c r="N818" s="5">
        <v>336</v>
      </c>
      <c r="O818" s="5">
        <v>0</v>
      </c>
      <c r="P818" s="5">
        <v>100.89000000000001</v>
      </c>
    </row>
    <row r="819" spans="1:16">
      <c r="A819" s="1" t="s">
        <v>832</v>
      </c>
      <c r="B819" s="1" t="s">
        <v>825</v>
      </c>
      <c r="C819" s="1">
        <v>1994</v>
      </c>
      <c r="D819" s="1" t="s">
        <v>1711</v>
      </c>
      <c r="E819" s="17">
        <v>34680</v>
      </c>
      <c r="F819" s="18" t="str">
        <f t="shared" si="12"/>
        <v>PEPE1994_Diciembre</v>
      </c>
      <c r="G819" s="1" t="s">
        <v>1540</v>
      </c>
      <c r="H819" s="3">
        <v>6</v>
      </c>
      <c r="I819" s="3">
        <v>-77.385000000000005</v>
      </c>
      <c r="J819" s="12">
        <v>25</v>
      </c>
      <c r="K819" s="12">
        <v>27.4</v>
      </c>
      <c r="L819" s="4">
        <v>34.479999999999997</v>
      </c>
      <c r="M819" s="5">
        <v>229</v>
      </c>
      <c r="N819" s="5">
        <v>649</v>
      </c>
      <c r="O819" s="5">
        <v>0</v>
      </c>
      <c r="P819" s="5">
        <v>114.57</v>
      </c>
    </row>
    <row r="820" spans="1:16">
      <c r="A820" s="1" t="s">
        <v>833</v>
      </c>
      <c r="B820" s="1" t="s">
        <v>825</v>
      </c>
      <c r="C820" s="1">
        <v>1994</v>
      </c>
      <c r="D820" s="1" t="s">
        <v>1711</v>
      </c>
      <c r="E820" s="17">
        <v>34680</v>
      </c>
      <c r="F820" s="18" t="str">
        <f t="shared" si="12"/>
        <v>PEPE1994_Diciembre</v>
      </c>
      <c r="G820" s="1" t="s">
        <v>1352</v>
      </c>
      <c r="H820" s="3">
        <v>6</v>
      </c>
      <c r="I820" s="3">
        <v>-77.450833333333335</v>
      </c>
      <c r="J820" s="12">
        <v>26</v>
      </c>
      <c r="K820" s="12">
        <v>27</v>
      </c>
      <c r="L820" s="4">
        <v>49.75</v>
      </c>
      <c r="M820" s="5">
        <v>150</v>
      </c>
      <c r="N820" s="5">
        <v>649</v>
      </c>
      <c r="O820" s="5">
        <v>49.91</v>
      </c>
      <c r="P820" s="5">
        <v>99.82</v>
      </c>
    </row>
    <row r="821" spans="1:16">
      <c r="A821" s="1" t="s">
        <v>834</v>
      </c>
      <c r="B821" s="1" t="s">
        <v>825</v>
      </c>
      <c r="C821" s="1">
        <v>1994</v>
      </c>
      <c r="D821" s="1" t="s">
        <v>1711</v>
      </c>
      <c r="E821" s="17">
        <v>34680</v>
      </c>
      <c r="F821" s="18" t="str">
        <f t="shared" si="12"/>
        <v>PEPE1994_Diciembre</v>
      </c>
      <c r="G821" s="1" t="s">
        <v>1541</v>
      </c>
      <c r="H821" s="3">
        <v>6.0008333333333335</v>
      </c>
      <c r="I821" s="3">
        <v>-77.543888888888887</v>
      </c>
      <c r="J821" s="12">
        <v>27</v>
      </c>
      <c r="K821" s="12">
        <v>27.3</v>
      </c>
      <c r="L821" s="4">
        <v>58.82</v>
      </c>
      <c r="M821" s="5">
        <v>0</v>
      </c>
      <c r="N821" s="5">
        <v>1607</v>
      </c>
      <c r="O821" s="1">
        <v>0</v>
      </c>
      <c r="P821" s="5">
        <v>1517.93</v>
      </c>
    </row>
    <row r="822" spans="1:16">
      <c r="A822" s="1" t="s">
        <v>835</v>
      </c>
      <c r="B822" s="1" t="s">
        <v>825</v>
      </c>
      <c r="C822" s="1">
        <v>1994</v>
      </c>
      <c r="D822" s="1" t="s">
        <v>1711</v>
      </c>
      <c r="E822" s="17">
        <v>34680</v>
      </c>
      <c r="F822" s="18" t="str">
        <f t="shared" si="12"/>
        <v>PEPE1994_Diciembre</v>
      </c>
      <c r="G822" s="1" t="s">
        <v>1356</v>
      </c>
      <c r="H822" s="3">
        <v>5.833333333333333</v>
      </c>
      <c r="I822" s="3">
        <v>-77.308888888888887</v>
      </c>
      <c r="J822" s="12">
        <v>25</v>
      </c>
      <c r="K822" s="12">
        <v>28.5</v>
      </c>
      <c r="L822" s="4">
        <v>37.729999999999997</v>
      </c>
      <c r="M822" s="5">
        <v>121</v>
      </c>
      <c r="N822" s="5">
        <v>73</v>
      </c>
      <c r="O822" s="5">
        <v>0</v>
      </c>
      <c r="P822" s="5">
        <v>24.2</v>
      </c>
    </row>
    <row r="823" spans="1:16">
      <c r="A823" s="1" t="s">
        <v>836</v>
      </c>
      <c r="B823" s="1" t="s">
        <v>825</v>
      </c>
      <c r="C823" s="1">
        <v>1994</v>
      </c>
      <c r="D823" s="1" t="s">
        <v>1711</v>
      </c>
      <c r="E823" s="17">
        <v>34680</v>
      </c>
      <c r="F823" s="18" t="str">
        <f t="shared" si="12"/>
        <v>PEPE1994_Diciembre</v>
      </c>
      <c r="G823" s="1" t="s">
        <v>1357</v>
      </c>
      <c r="H823" s="3">
        <v>5.8344444444444443</v>
      </c>
      <c r="I823" s="3">
        <v>-77.384722222222223</v>
      </c>
      <c r="J823" s="12">
        <v>25</v>
      </c>
      <c r="K823" s="12">
        <v>28.1</v>
      </c>
      <c r="L823" s="4">
        <v>40.32</v>
      </c>
      <c r="M823" s="5">
        <v>98</v>
      </c>
      <c r="N823" s="5">
        <v>832</v>
      </c>
      <c r="O823" s="5">
        <v>97.86</v>
      </c>
      <c r="P823" s="5">
        <v>97.86</v>
      </c>
    </row>
    <row r="824" spans="1:16">
      <c r="A824" s="1" t="s">
        <v>837</v>
      </c>
      <c r="B824" s="1" t="s">
        <v>825</v>
      </c>
      <c r="C824" s="1">
        <v>1994</v>
      </c>
      <c r="D824" s="1" t="s">
        <v>1711</v>
      </c>
      <c r="E824" s="17">
        <v>34680</v>
      </c>
      <c r="F824" s="18" t="str">
        <f t="shared" si="12"/>
        <v>PEPE1994_Diciembre</v>
      </c>
      <c r="G824" s="1" t="s">
        <v>1504</v>
      </c>
      <c r="H824" s="3">
        <v>5.6686111111111117</v>
      </c>
      <c r="I824" s="3">
        <v>-77.339999999999989</v>
      </c>
      <c r="J824" s="12">
        <v>26</v>
      </c>
      <c r="K824" s="12">
        <v>28.4</v>
      </c>
      <c r="L824" s="4">
        <v>71.42</v>
      </c>
      <c r="M824" s="5">
        <v>94</v>
      </c>
      <c r="N824" s="5">
        <v>416</v>
      </c>
      <c r="O824" s="5">
        <v>37.78</v>
      </c>
      <c r="P824" s="5">
        <v>170.01</v>
      </c>
    </row>
    <row r="825" spans="1:16">
      <c r="A825" s="1" t="s">
        <v>838</v>
      </c>
      <c r="B825" s="1" t="s">
        <v>825</v>
      </c>
      <c r="C825" s="1">
        <v>1994</v>
      </c>
      <c r="D825" s="1" t="s">
        <v>1711</v>
      </c>
      <c r="E825" s="17">
        <v>34680</v>
      </c>
      <c r="F825" s="18" t="str">
        <f t="shared" si="12"/>
        <v>PEPE1994_Diciembre</v>
      </c>
      <c r="G825" s="1" t="s">
        <v>1505</v>
      </c>
      <c r="H825" s="3">
        <v>5.6680555555555561</v>
      </c>
      <c r="I825" s="3">
        <v>-77.416666666666671</v>
      </c>
      <c r="J825" s="12">
        <v>28</v>
      </c>
      <c r="K825" s="12">
        <v>27.8</v>
      </c>
      <c r="L825" s="4">
        <v>35.248501938667609</v>
      </c>
      <c r="M825" s="5">
        <v>0</v>
      </c>
      <c r="N825" s="5">
        <v>786</v>
      </c>
      <c r="O825" s="1">
        <v>0</v>
      </c>
      <c r="P825" s="5">
        <v>320.32</v>
      </c>
    </row>
    <row r="826" spans="1:16">
      <c r="A826" s="1" t="s">
        <v>839</v>
      </c>
      <c r="B826" s="1" t="s">
        <v>825</v>
      </c>
      <c r="C826" s="1">
        <v>1994</v>
      </c>
      <c r="D826" s="1" t="s">
        <v>1711</v>
      </c>
      <c r="E826" s="17">
        <v>34680</v>
      </c>
      <c r="F826" s="18" t="str">
        <f t="shared" si="12"/>
        <v>PEPE1994_Diciembre</v>
      </c>
      <c r="G826" s="1" t="s">
        <v>1506</v>
      </c>
      <c r="H826" s="3">
        <v>5.6677777777777782</v>
      </c>
      <c r="I826" s="3">
        <v>-77.510000000000005</v>
      </c>
      <c r="J826" s="12">
        <v>29</v>
      </c>
      <c r="K826" s="12">
        <v>27.5</v>
      </c>
      <c r="L826" s="4">
        <v>19.409937888198758</v>
      </c>
      <c r="M826" s="5">
        <v>60</v>
      </c>
      <c r="N826" s="5">
        <v>904</v>
      </c>
      <c r="O826" s="5">
        <v>30.12</v>
      </c>
      <c r="P826" s="5">
        <v>542.16</v>
      </c>
    </row>
    <row r="827" spans="1:16">
      <c r="A827" s="1" t="s">
        <v>840</v>
      </c>
      <c r="B827" s="1" t="s">
        <v>825</v>
      </c>
      <c r="C827" s="1">
        <v>1994</v>
      </c>
      <c r="D827" s="1" t="s">
        <v>1711</v>
      </c>
      <c r="E827" s="17">
        <v>34681</v>
      </c>
      <c r="F827" s="18" t="str">
        <f t="shared" si="12"/>
        <v>PEPE1994_Diciembre</v>
      </c>
      <c r="G827" s="1" t="s">
        <v>1361</v>
      </c>
      <c r="H827" s="3">
        <v>5.509722222222222</v>
      </c>
      <c r="I827" s="3">
        <v>-77.553888888888892</v>
      </c>
      <c r="J827" s="12">
        <v>29</v>
      </c>
      <c r="K827" s="12">
        <v>27.5</v>
      </c>
      <c r="L827" s="4">
        <v>66.666666666666671</v>
      </c>
      <c r="M827" s="5">
        <v>622</v>
      </c>
      <c r="N827" s="5">
        <v>1523</v>
      </c>
      <c r="O827" s="5">
        <v>31.09</v>
      </c>
      <c r="P827" s="5">
        <v>652.89</v>
      </c>
    </row>
    <row r="828" spans="1:16">
      <c r="A828" s="1" t="s">
        <v>841</v>
      </c>
      <c r="B828" s="1" t="s">
        <v>825</v>
      </c>
      <c r="C828" s="1">
        <v>1994</v>
      </c>
      <c r="D828" s="1" t="s">
        <v>1711</v>
      </c>
      <c r="E828" s="17">
        <v>34681</v>
      </c>
      <c r="F828" s="18" t="str">
        <f t="shared" si="12"/>
        <v>PEPE1994_Diciembre</v>
      </c>
      <c r="G828" s="1" t="s">
        <v>1509</v>
      </c>
      <c r="H828" s="3">
        <v>5.5</v>
      </c>
      <c r="I828" s="3">
        <v>-77.661388888888894</v>
      </c>
      <c r="J828" s="12">
        <v>29</v>
      </c>
      <c r="K828" s="12">
        <v>27.7</v>
      </c>
      <c r="L828" s="4">
        <v>94.415969786889661</v>
      </c>
      <c r="M828" s="5">
        <v>39</v>
      </c>
      <c r="N828" s="5">
        <v>1171</v>
      </c>
      <c r="O828" s="5">
        <v>19.52</v>
      </c>
      <c r="P828" s="5">
        <v>819.84</v>
      </c>
    </row>
    <row r="829" spans="1:16">
      <c r="A829" s="1" t="s">
        <v>842</v>
      </c>
      <c r="B829" s="1" t="s">
        <v>825</v>
      </c>
      <c r="C829" s="1">
        <v>1994</v>
      </c>
      <c r="D829" s="1" t="s">
        <v>1711</v>
      </c>
      <c r="E829" s="17">
        <v>34681</v>
      </c>
      <c r="F829" s="18" t="str">
        <f t="shared" si="12"/>
        <v>PEPE1994_Diciembre</v>
      </c>
      <c r="G829" s="1" t="s">
        <v>1510</v>
      </c>
      <c r="H829" s="3">
        <v>5.3347222222222221</v>
      </c>
      <c r="I829" s="3">
        <v>-77.421388888888899</v>
      </c>
      <c r="J829" s="12">
        <v>28</v>
      </c>
      <c r="K829" s="12">
        <v>27.9</v>
      </c>
      <c r="L829" s="4">
        <v>249.07260201377849</v>
      </c>
      <c r="M829" s="5">
        <v>972</v>
      </c>
      <c r="N829" s="5">
        <v>87</v>
      </c>
      <c r="O829" s="5">
        <v>900.48</v>
      </c>
      <c r="P829" s="5">
        <v>65.28</v>
      </c>
    </row>
    <row r="830" spans="1:16">
      <c r="A830" s="1" t="s">
        <v>843</v>
      </c>
      <c r="B830" s="1" t="s">
        <v>825</v>
      </c>
      <c r="C830" s="1">
        <v>1994</v>
      </c>
      <c r="D830" s="1" t="s">
        <v>1711</v>
      </c>
      <c r="E830" s="17">
        <v>34681</v>
      </c>
      <c r="F830" s="18" t="str">
        <f t="shared" si="12"/>
        <v>PEPE1994_Diciembre</v>
      </c>
      <c r="G830" s="1" t="s">
        <v>1365</v>
      </c>
      <c r="H830" s="3">
        <v>5.3438888888888885</v>
      </c>
      <c r="I830" s="3">
        <v>-77.498888888888885</v>
      </c>
      <c r="J830" s="12">
        <v>25</v>
      </c>
      <c r="K830" s="12">
        <v>28</v>
      </c>
      <c r="L830" s="4">
        <v>49.382716049382715</v>
      </c>
      <c r="M830" s="5">
        <v>4011</v>
      </c>
      <c r="N830" s="5">
        <v>3996</v>
      </c>
      <c r="O830" s="5">
        <v>1067.5</v>
      </c>
      <c r="P830" s="5">
        <v>2821.25</v>
      </c>
    </row>
    <row r="831" spans="1:16">
      <c r="A831" s="1" t="s">
        <v>844</v>
      </c>
      <c r="B831" s="1" t="s">
        <v>825</v>
      </c>
      <c r="C831" s="1">
        <v>1994</v>
      </c>
      <c r="D831" s="1" t="s">
        <v>1711</v>
      </c>
      <c r="E831" s="17">
        <v>34681</v>
      </c>
      <c r="F831" s="18" t="str">
        <f t="shared" si="12"/>
        <v>PEPE1994_Diciembre</v>
      </c>
      <c r="G831" s="1" t="s">
        <v>1366</v>
      </c>
      <c r="H831" s="3">
        <v>5.3344444444444443</v>
      </c>
      <c r="I831" s="3">
        <v>-77.567777777777778</v>
      </c>
      <c r="J831" s="12">
        <v>26</v>
      </c>
      <c r="K831" s="12">
        <v>27.7</v>
      </c>
      <c r="L831" s="4">
        <v>95.212187159956486</v>
      </c>
      <c r="M831" s="5">
        <v>70</v>
      </c>
      <c r="N831" s="5">
        <v>3767</v>
      </c>
      <c r="O831" s="5">
        <v>0</v>
      </c>
      <c r="P831" s="5">
        <v>2592.96</v>
      </c>
    </row>
    <row r="832" spans="1:16">
      <c r="A832" s="1" t="s">
        <v>845</v>
      </c>
      <c r="B832" s="1" t="s">
        <v>825</v>
      </c>
      <c r="C832" s="1">
        <v>1994</v>
      </c>
      <c r="D832" s="1" t="s">
        <v>1711</v>
      </c>
      <c r="E832" s="17">
        <v>34681</v>
      </c>
      <c r="F832" s="18" t="str">
        <f t="shared" si="12"/>
        <v>PEPE1994_Diciembre</v>
      </c>
      <c r="G832" s="1" t="s">
        <v>1511</v>
      </c>
      <c r="H832" s="3">
        <v>5.1422222222222222</v>
      </c>
      <c r="I832" s="3">
        <v>-77.406111111111116</v>
      </c>
      <c r="J832" s="12">
        <v>24</v>
      </c>
      <c r="K832" s="12">
        <v>28</v>
      </c>
      <c r="L832" s="4">
        <v>50.632911392405063</v>
      </c>
      <c r="M832" s="5">
        <v>812</v>
      </c>
      <c r="N832" s="5">
        <v>11</v>
      </c>
      <c r="O832" s="5">
        <v>784.92</v>
      </c>
      <c r="P832" s="5">
        <v>4.96</v>
      </c>
    </row>
    <row r="833" spans="1:16">
      <c r="A833" s="1" t="s">
        <v>846</v>
      </c>
      <c r="B833" s="1" t="s">
        <v>825</v>
      </c>
      <c r="C833" s="1">
        <v>1994</v>
      </c>
      <c r="D833" s="1" t="s">
        <v>1711</v>
      </c>
      <c r="E833" s="17">
        <v>34681</v>
      </c>
      <c r="F833" s="18" t="str">
        <f t="shared" si="12"/>
        <v>PEPE1994_Diciembre</v>
      </c>
      <c r="G833" s="1" t="s">
        <v>1379</v>
      </c>
      <c r="H833" s="3">
        <v>5.1680555555555561</v>
      </c>
      <c r="I833" s="3">
        <v>-77.5</v>
      </c>
      <c r="J833" s="12">
        <v>28</v>
      </c>
      <c r="K833" s="12">
        <v>27.8</v>
      </c>
      <c r="L833" s="4">
        <v>106.11956137247967</v>
      </c>
      <c r="M833" s="5">
        <v>1034</v>
      </c>
      <c r="N833" s="5">
        <v>1560</v>
      </c>
      <c r="O833" s="5">
        <v>147.78000000000003</v>
      </c>
      <c r="P833" s="5">
        <v>738.90000000000009</v>
      </c>
    </row>
    <row r="834" spans="1:16">
      <c r="A834" s="1" t="s">
        <v>847</v>
      </c>
      <c r="B834" s="1" t="s">
        <v>825</v>
      </c>
      <c r="C834" s="1">
        <v>1994</v>
      </c>
      <c r="D834" s="1" t="s">
        <v>1711</v>
      </c>
      <c r="E834" s="17">
        <v>34681</v>
      </c>
      <c r="F834" s="18" t="str">
        <f t="shared" si="12"/>
        <v>PEPE1994_Diciembre</v>
      </c>
      <c r="G834" s="1" t="s">
        <v>1383</v>
      </c>
      <c r="H834" s="3">
        <v>5</v>
      </c>
      <c r="I834" s="3">
        <v>-77.400000000000006</v>
      </c>
      <c r="J834" s="12">
        <v>24</v>
      </c>
      <c r="K834" s="12">
        <v>27.8</v>
      </c>
      <c r="L834" s="4">
        <v>61.236987140232706</v>
      </c>
      <c r="M834" s="5">
        <v>426</v>
      </c>
      <c r="N834" s="5">
        <v>35</v>
      </c>
      <c r="O834" s="5">
        <v>386.4</v>
      </c>
      <c r="P834" s="5">
        <v>24</v>
      </c>
    </row>
    <row r="835" spans="1:16">
      <c r="A835" s="1" t="s">
        <v>848</v>
      </c>
      <c r="B835" s="1" t="s">
        <v>825</v>
      </c>
      <c r="C835" s="1">
        <v>1994</v>
      </c>
      <c r="D835" s="1" t="s">
        <v>1711</v>
      </c>
      <c r="E835" s="17">
        <v>34681</v>
      </c>
      <c r="F835" s="18" t="str">
        <f t="shared" ref="F835:F898" si="13">"PEPE"&amp;C835&amp;"_"&amp;D835</f>
        <v>PEPE1994_Diciembre</v>
      </c>
      <c r="G835" s="1" t="s">
        <v>1384</v>
      </c>
      <c r="H835" s="3">
        <v>5.0105555555555554</v>
      </c>
      <c r="I835" s="3">
        <v>-77.462500000000006</v>
      </c>
      <c r="J835" s="12">
        <v>25</v>
      </c>
      <c r="K835" s="12">
        <v>28</v>
      </c>
      <c r="L835" s="4">
        <v>324.25421530479895</v>
      </c>
      <c r="M835" s="5">
        <v>5422</v>
      </c>
      <c r="N835" s="5">
        <v>1654</v>
      </c>
      <c r="O835" s="5">
        <v>4676.49</v>
      </c>
      <c r="P835" s="5">
        <v>630.63</v>
      </c>
    </row>
    <row r="836" spans="1:16">
      <c r="A836" s="1" t="s">
        <v>849</v>
      </c>
      <c r="B836" s="1" t="s">
        <v>825</v>
      </c>
      <c r="C836" s="1">
        <v>1994</v>
      </c>
      <c r="D836" s="1" t="s">
        <v>1711</v>
      </c>
      <c r="E836" s="17">
        <v>34681</v>
      </c>
      <c r="F836" s="18" t="str">
        <f t="shared" si="13"/>
        <v>PEPE1994_Diciembre</v>
      </c>
      <c r="G836" s="1" t="s">
        <v>1385</v>
      </c>
      <c r="H836" s="3">
        <v>5.0011111111111113</v>
      </c>
      <c r="I836" s="3">
        <v>-77.549722222222215</v>
      </c>
      <c r="J836" s="12">
        <v>28</v>
      </c>
      <c r="K836" s="12">
        <v>27.8</v>
      </c>
      <c r="L836" s="4">
        <v>181.20631633445507</v>
      </c>
      <c r="M836" s="5">
        <v>1019</v>
      </c>
      <c r="N836" s="5">
        <v>3270</v>
      </c>
      <c r="O836" s="5">
        <v>35.74</v>
      </c>
      <c r="P836" s="5">
        <v>2090.79</v>
      </c>
    </row>
    <row r="837" spans="1:16">
      <c r="A837" s="1" t="s">
        <v>850</v>
      </c>
      <c r="B837" s="1" t="s">
        <v>825</v>
      </c>
      <c r="C837" s="1">
        <v>1994</v>
      </c>
      <c r="D837" s="1" t="s">
        <v>1711</v>
      </c>
      <c r="E837" s="17">
        <v>34681</v>
      </c>
      <c r="F837" s="18" t="str">
        <f t="shared" si="13"/>
        <v>PEPE1994_Diciembre</v>
      </c>
      <c r="G837" s="1" t="s">
        <v>1388</v>
      </c>
      <c r="H837" s="3">
        <v>4.8438888888888885</v>
      </c>
      <c r="I837" s="3">
        <v>-77.380555555555546</v>
      </c>
      <c r="J837" s="12">
        <v>24</v>
      </c>
      <c r="K837" s="12">
        <v>27.9</v>
      </c>
      <c r="L837" s="4">
        <v>48.87585532746823</v>
      </c>
      <c r="M837" s="5">
        <v>717</v>
      </c>
      <c r="N837" s="5">
        <v>3</v>
      </c>
      <c r="O837" s="5">
        <v>700.13</v>
      </c>
      <c r="P837" s="5">
        <v>0.53</v>
      </c>
    </row>
    <row r="838" spans="1:16">
      <c r="A838" s="1" t="s">
        <v>851</v>
      </c>
      <c r="B838" s="1" t="s">
        <v>825</v>
      </c>
      <c r="C838" s="1">
        <v>1994</v>
      </c>
      <c r="D838" s="1" t="s">
        <v>1711</v>
      </c>
      <c r="E838" s="17">
        <v>34681</v>
      </c>
      <c r="F838" s="18" t="str">
        <f t="shared" si="13"/>
        <v>PEPE1994_Diciembre</v>
      </c>
      <c r="G838" s="1" t="s">
        <v>1389</v>
      </c>
      <c r="H838" s="3">
        <v>4.8344444444444443</v>
      </c>
      <c r="I838" s="3">
        <v>-77.448055555555555</v>
      </c>
      <c r="J838" s="12">
        <v>22</v>
      </c>
      <c r="K838" s="12">
        <v>28.1</v>
      </c>
      <c r="L838" s="4">
        <v>104.11244143675168</v>
      </c>
      <c r="M838" s="5">
        <v>3173</v>
      </c>
      <c r="N838" s="5">
        <v>6394</v>
      </c>
      <c r="O838" s="5">
        <v>3091.2999999999997</v>
      </c>
      <c r="P838" s="5">
        <v>5727.04</v>
      </c>
    </row>
    <row r="839" spans="1:16">
      <c r="A839" s="1" t="s">
        <v>852</v>
      </c>
      <c r="B839" s="1" t="s">
        <v>825</v>
      </c>
      <c r="C839" s="1">
        <v>1994</v>
      </c>
      <c r="D839" s="1" t="s">
        <v>1711</v>
      </c>
      <c r="E839" s="17">
        <v>34681</v>
      </c>
      <c r="F839" s="18" t="str">
        <f t="shared" si="13"/>
        <v>PEPE1994_Diciembre</v>
      </c>
      <c r="G839" s="1" t="s">
        <v>1548</v>
      </c>
      <c r="H839" s="3">
        <v>4.6744444444444451</v>
      </c>
      <c r="I839" s="3">
        <v>-77.3611111111111</v>
      </c>
      <c r="J839" s="12">
        <v>21</v>
      </c>
      <c r="K839" s="12">
        <v>27.6</v>
      </c>
      <c r="L839" s="4">
        <v>47.014574518100609</v>
      </c>
      <c r="M839" s="5">
        <v>99</v>
      </c>
      <c r="N839" s="5">
        <v>8</v>
      </c>
      <c r="O839" s="5">
        <v>79.06</v>
      </c>
      <c r="P839" s="5">
        <v>3.54</v>
      </c>
    </row>
    <row r="840" spans="1:16">
      <c r="A840" s="1" t="s">
        <v>853</v>
      </c>
      <c r="B840" s="1" t="s">
        <v>825</v>
      </c>
      <c r="C840" s="1">
        <v>1994</v>
      </c>
      <c r="D840" s="1" t="s">
        <v>1711</v>
      </c>
      <c r="E840" s="17">
        <v>34681</v>
      </c>
      <c r="F840" s="18" t="str">
        <f t="shared" si="13"/>
        <v>PEPE1994_Diciembre</v>
      </c>
      <c r="G840" s="1" t="s">
        <v>1617</v>
      </c>
      <c r="H840" s="3">
        <v>4.6680555555555561</v>
      </c>
      <c r="I840" s="3">
        <v>-77.419722222222234</v>
      </c>
      <c r="J840" s="12">
        <v>22</v>
      </c>
      <c r="K840" s="12">
        <v>27.6</v>
      </c>
      <c r="L840" s="4">
        <v>104.27528675703859</v>
      </c>
      <c r="M840" s="5">
        <v>117</v>
      </c>
      <c r="N840" s="5">
        <v>1912</v>
      </c>
      <c r="O840" s="5">
        <v>65.05</v>
      </c>
      <c r="P840" s="5">
        <v>1340.03</v>
      </c>
    </row>
    <row r="841" spans="1:16">
      <c r="A841" s="1" t="s">
        <v>854</v>
      </c>
      <c r="B841" s="1" t="s">
        <v>825</v>
      </c>
      <c r="C841" s="1">
        <v>1994</v>
      </c>
      <c r="D841" s="1" t="s">
        <v>1711</v>
      </c>
      <c r="E841" s="17">
        <v>34682</v>
      </c>
      <c r="F841" s="18" t="str">
        <f t="shared" si="13"/>
        <v>PEPE1994_Diciembre</v>
      </c>
      <c r="G841" s="1" t="s">
        <v>1398</v>
      </c>
      <c r="H841" s="3">
        <v>4.5019444444444447</v>
      </c>
      <c r="I841" s="3">
        <v>-77.371388888888887</v>
      </c>
      <c r="J841" s="12">
        <v>25</v>
      </c>
      <c r="K841" s="12">
        <v>27.5</v>
      </c>
      <c r="L841" s="4">
        <v>107.87486515641856</v>
      </c>
      <c r="M841" s="5">
        <v>1407</v>
      </c>
      <c r="N841" s="5">
        <v>60</v>
      </c>
      <c r="O841" s="5">
        <v>1083.46</v>
      </c>
      <c r="P841" s="5">
        <v>27.689999999999998</v>
      </c>
    </row>
    <row r="842" spans="1:16">
      <c r="A842" s="1" t="s">
        <v>855</v>
      </c>
      <c r="B842" s="1" t="s">
        <v>825</v>
      </c>
      <c r="C842" s="1">
        <v>1994</v>
      </c>
      <c r="D842" s="1" t="s">
        <v>1711</v>
      </c>
      <c r="E842" s="17">
        <v>34682</v>
      </c>
      <c r="F842" s="18" t="str">
        <f t="shared" si="13"/>
        <v>PEPE1994_Diciembre</v>
      </c>
      <c r="G842" s="1" t="s">
        <v>1399</v>
      </c>
      <c r="H842" s="3">
        <v>4.5</v>
      </c>
      <c r="I842" s="3">
        <v>-77.427222222222227</v>
      </c>
      <c r="J842" s="12">
        <v>25</v>
      </c>
      <c r="K842" s="12">
        <v>27.5</v>
      </c>
      <c r="L842" s="4">
        <v>138.17607579944732</v>
      </c>
      <c r="M842" s="5">
        <v>358</v>
      </c>
      <c r="N842" s="5">
        <v>961</v>
      </c>
      <c r="O842" s="5">
        <v>36.299999999999997</v>
      </c>
      <c r="P842" s="5">
        <v>454.96</v>
      </c>
    </row>
    <row r="843" spans="1:16">
      <c r="A843" s="1" t="s">
        <v>856</v>
      </c>
      <c r="B843" s="1" t="s">
        <v>825</v>
      </c>
      <c r="C843" s="1">
        <v>1994</v>
      </c>
      <c r="D843" s="1" t="s">
        <v>1711</v>
      </c>
      <c r="E843" s="17">
        <v>34682</v>
      </c>
      <c r="F843" s="18" t="str">
        <f t="shared" si="13"/>
        <v>PEPE1994_Diciembre</v>
      </c>
      <c r="G843" s="1" t="s">
        <v>1400</v>
      </c>
      <c r="H843" s="3">
        <v>4.5</v>
      </c>
      <c r="I843" s="3">
        <v>-77.509722222222223</v>
      </c>
      <c r="J843" s="12">
        <v>26</v>
      </c>
      <c r="K843" s="12">
        <v>27.4</v>
      </c>
      <c r="L843" s="4">
        <v>92.250922509225077</v>
      </c>
      <c r="M843" s="5">
        <v>17</v>
      </c>
      <c r="N843" s="5">
        <v>762</v>
      </c>
      <c r="O843" s="5">
        <v>0</v>
      </c>
      <c r="P843" s="5">
        <v>186.23</v>
      </c>
    </row>
    <row r="844" spans="1:16">
      <c r="A844" s="1" t="s">
        <v>857</v>
      </c>
      <c r="B844" s="1" t="s">
        <v>825</v>
      </c>
      <c r="C844" s="1">
        <v>1994</v>
      </c>
      <c r="D844" s="1" t="s">
        <v>1711</v>
      </c>
      <c r="E844" s="17">
        <v>34682</v>
      </c>
      <c r="F844" s="18" t="str">
        <f t="shared" si="13"/>
        <v>PEPE1994_Diciembre</v>
      </c>
      <c r="G844" s="1" t="s">
        <v>1587</v>
      </c>
      <c r="H844" s="3">
        <v>4.2541666666666664</v>
      </c>
      <c r="I844" s="3">
        <v>-77.473055555555561</v>
      </c>
      <c r="J844" s="12">
        <v>25</v>
      </c>
      <c r="K844" s="12">
        <v>27.3</v>
      </c>
      <c r="L844" s="4">
        <v>223.96416573348264</v>
      </c>
      <c r="M844" s="5">
        <v>47</v>
      </c>
      <c r="N844" s="5">
        <v>23</v>
      </c>
      <c r="O844" s="5">
        <v>10.36</v>
      </c>
      <c r="P844" s="5">
        <v>10.36</v>
      </c>
    </row>
    <row r="845" spans="1:16">
      <c r="A845" s="1" t="s">
        <v>858</v>
      </c>
      <c r="B845" s="1" t="s">
        <v>825</v>
      </c>
      <c r="C845" s="1">
        <v>1994</v>
      </c>
      <c r="D845" s="1" t="s">
        <v>1711</v>
      </c>
      <c r="E845" s="17">
        <v>34682</v>
      </c>
      <c r="F845" s="18" t="str">
        <f t="shared" si="13"/>
        <v>PEPE1994_Diciembre</v>
      </c>
      <c r="G845" s="1" t="s">
        <v>1588</v>
      </c>
      <c r="H845" s="3">
        <v>4.2694444444444448</v>
      </c>
      <c r="I845" s="3">
        <v>-77.510277777777773</v>
      </c>
      <c r="J845" s="12">
        <v>15</v>
      </c>
      <c r="K845" s="12">
        <v>27.6</v>
      </c>
      <c r="L845" s="4">
        <v>45.537340619307834</v>
      </c>
      <c r="M845" s="5">
        <v>34</v>
      </c>
      <c r="N845" s="5">
        <v>35</v>
      </c>
      <c r="O845" s="5">
        <v>2.37</v>
      </c>
      <c r="P845" s="5">
        <v>22.12</v>
      </c>
    </row>
    <row r="846" spans="1:16">
      <c r="A846" s="1" t="s">
        <v>859</v>
      </c>
      <c r="B846" s="1" t="s">
        <v>825</v>
      </c>
      <c r="C846" s="1">
        <v>1994</v>
      </c>
      <c r="D846" s="1" t="s">
        <v>1711</v>
      </c>
      <c r="E846" s="17">
        <v>34682</v>
      </c>
      <c r="F846" s="18" t="str">
        <f t="shared" si="13"/>
        <v>PEPE1994_Diciembre</v>
      </c>
      <c r="G846" s="1" t="s">
        <v>1619</v>
      </c>
      <c r="H846" s="3">
        <v>4.3438888888888885</v>
      </c>
      <c r="I846" s="3">
        <v>-77.519444444444446</v>
      </c>
      <c r="J846" s="12">
        <v>20</v>
      </c>
      <c r="K846" s="12">
        <v>27.7</v>
      </c>
      <c r="L846" s="4">
        <v>151.24779430299975</v>
      </c>
      <c r="M846" s="5">
        <v>28763</v>
      </c>
      <c r="N846" s="5">
        <v>6071</v>
      </c>
      <c r="O846" s="5">
        <v>26676.09</v>
      </c>
      <c r="P846" s="5">
        <v>2361.87</v>
      </c>
    </row>
    <row r="847" spans="1:16">
      <c r="A847" s="1" t="s">
        <v>860</v>
      </c>
      <c r="B847" s="1" t="s">
        <v>825</v>
      </c>
      <c r="C847" s="1">
        <v>1994</v>
      </c>
      <c r="D847" s="1" t="s">
        <v>1711</v>
      </c>
      <c r="E847" s="17">
        <v>34682</v>
      </c>
      <c r="F847" s="18" t="str">
        <f t="shared" si="13"/>
        <v>PEPE1994_Diciembre</v>
      </c>
      <c r="G847" s="1" t="s">
        <v>1550</v>
      </c>
      <c r="H847" s="3">
        <v>4.343055555555555</v>
      </c>
      <c r="I847" s="3">
        <v>-77.584444444444443</v>
      </c>
      <c r="J847" s="12">
        <v>24</v>
      </c>
      <c r="K847" s="12">
        <v>27.9</v>
      </c>
      <c r="L847" s="4">
        <v>40.518638573743921</v>
      </c>
      <c r="M847" s="5">
        <v>473</v>
      </c>
      <c r="N847" s="5">
        <v>2019</v>
      </c>
      <c r="O847" s="5">
        <v>199.36</v>
      </c>
      <c r="P847" s="5">
        <v>897.12000000000012</v>
      </c>
    </row>
    <row r="848" spans="1:16">
      <c r="A848" s="1" t="s">
        <v>861</v>
      </c>
      <c r="B848" s="1" t="s">
        <v>825</v>
      </c>
      <c r="C848" s="1">
        <v>1994</v>
      </c>
      <c r="D848" s="1" t="s">
        <v>1711</v>
      </c>
      <c r="E848" s="17">
        <v>34682</v>
      </c>
      <c r="F848" s="18" t="str">
        <f t="shared" si="13"/>
        <v>PEPE1994_Diciembre</v>
      </c>
      <c r="G848" s="1" t="s">
        <v>1405</v>
      </c>
      <c r="H848" s="3">
        <v>4.3344444444444443</v>
      </c>
      <c r="I848" s="3">
        <v>-77.666666666666671</v>
      </c>
      <c r="J848" s="12">
        <v>27</v>
      </c>
      <c r="K848" s="12">
        <v>27.5</v>
      </c>
      <c r="L848" s="4">
        <v>143.47202295552367</v>
      </c>
      <c r="M848" s="5">
        <v>202</v>
      </c>
      <c r="N848" s="5">
        <v>2488</v>
      </c>
      <c r="O848" s="5">
        <v>82.62</v>
      </c>
      <c r="P848" s="5">
        <v>1808.46</v>
      </c>
    </row>
    <row r="849" spans="1:16">
      <c r="A849" s="1" t="s">
        <v>862</v>
      </c>
      <c r="B849" s="1" t="s">
        <v>825</v>
      </c>
      <c r="C849" s="1">
        <v>1994</v>
      </c>
      <c r="D849" s="1" t="s">
        <v>1711</v>
      </c>
      <c r="E849" s="17">
        <v>34682</v>
      </c>
      <c r="F849" s="18" t="str">
        <f t="shared" si="13"/>
        <v>PEPE1994_Diciembre</v>
      </c>
      <c r="G849" s="1" t="s">
        <v>1408</v>
      </c>
      <c r="H849" s="3">
        <v>4.1677777777777782</v>
      </c>
      <c r="I849" s="3">
        <v>-77.548333333333332</v>
      </c>
      <c r="J849" s="12">
        <v>20</v>
      </c>
      <c r="K849" s="12">
        <v>28</v>
      </c>
      <c r="L849" s="4">
        <v>52.383446830801468</v>
      </c>
      <c r="M849" s="5">
        <v>69</v>
      </c>
      <c r="N849" s="5">
        <v>33</v>
      </c>
      <c r="O849" s="5">
        <v>11.55</v>
      </c>
      <c r="P849" s="5">
        <v>30.450000000000003</v>
      </c>
    </row>
    <row r="850" spans="1:16">
      <c r="A850" s="1" t="s">
        <v>863</v>
      </c>
      <c r="B850" s="1" t="s">
        <v>825</v>
      </c>
      <c r="C850" s="1">
        <v>1994</v>
      </c>
      <c r="D850" s="1" t="s">
        <v>1711</v>
      </c>
      <c r="E850" s="17">
        <v>34682</v>
      </c>
      <c r="F850" s="18" t="str">
        <f t="shared" si="13"/>
        <v>PEPE1994_Diciembre</v>
      </c>
      <c r="G850" s="1" t="s">
        <v>1409</v>
      </c>
      <c r="H850" s="3">
        <v>4.166666666666667</v>
      </c>
      <c r="I850" s="3">
        <v>-77.61611111111111</v>
      </c>
      <c r="J850" s="12">
        <v>21</v>
      </c>
      <c r="K850" s="12">
        <v>28.3</v>
      </c>
      <c r="L850" s="4">
        <v>157.18327569946558</v>
      </c>
      <c r="M850" s="5">
        <v>189</v>
      </c>
      <c r="N850" s="5">
        <v>2183</v>
      </c>
      <c r="O850" s="5">
        <v>0</v>
      </c>
      <c r="P850" s="5">
        <v>1577.5</v>
      </c>
    </row>
    <row r="851" spans="1:16">
      <c r="A851" s="1" t="s">
        <v>864</v>
      </c>
      <c r="B851" s="1" t="s">
        <v>825</v>
      </c>
      <c r="C851" s="1">
        <v>1994</v>
      </c>
      <c r="D851" s="1" t="s">
        <v>1711</v>
      </c>
      <c r="E851" s="17">
        <v>34682</v>
      </c>
      <c r="F851" s="18" t="str">
        <f t="shared" si="13"/>
        <v>PEPE1994_Diciembre</v>
      </c>
      <c r="G851" s="1" t="s">
        <v>1593</v>
      </c>
      <c r="H851" s="3">
        <v>3.99</v>
      </c>
      <c r="I851" s="3">
        <v>-77.302777777777777</v>
      </c>
      <c r="J851" s="12">
        <v>20</v>
      </c>
      <c r="K851" s="12">
        <v>28.6</v>
      </c>
      <c r="L851" s="4">
        <v>55.897149245388484</v>
      </c>
      <c r="M851" s="5">
        <v>1</v>
      </c>
      <c r="N851" s="5">
        <v>26</v>
      </c>
      <c r="O851" s="5">
        <v>0</v>
      </c>
      <c r="P851" s="5">
        <v>7.8</v>
      </c>
    </row>
    <row r="852" spans="1:16">
      <c r="A852" s="1" t="s">
        <v>865</v>
      </c>
      <c r="B852" s="1" t="s">
        <v>825</v>
      </c>
      <c r="C852" s="1">
        <v>1994</v>
      </c>
      <c r="D852" s="1" t="s">
        <v>1711</v>
      </c>
      <c r="E852" s="17">
        <v>34678</v>
      </c>
      <c r="F852" s="18" t="str">
        <f t="shared" si="13"/>
        <v>PEPE1994_Diciembre</v>
      </c>
      <c r="G852" s="1" t="s">
        <v>1595</v>
      </c>
      <c r="H852" s="3">
        <v>3.8230555555555554</v>
      </c>
      <c r="I852" s="3">
        <v>-77.167222222222222</v>
      </c>
      <c r="J852" s="12">
        <v>17</v>
      </c>
      <c r="K852" s="12">
        <v>29.3</v>
      </c>
      <c r="L852" s="4">
        <v>73.964497041420117</v>
      </c>
      <c r="M852" s="5">
        <v>0</v>
      </c>
      <c r="N852" s="5">
        <v>49</v>
      </c>
      <c r="O852" s="1">
        <v>0</v>
      </c>
      <c r="P852" s="5">
        <v>3.48</v>
      </c>
    </row>
    <row r="853" spans="1:16">
      <c r="A853" s="1" t="s">
        <v>866</v>
      </c>
      <c r="B853" s="1" t="s">
        <v>825</v>
      </c>
      <c r="C853" s="1">
        <v>1994</v>
      </c>
      <c r="D853" s="1" t="s">
        <v>1711</v>
      </c>
      <c r="E853" s="17">
        <v>34678</v>
      </c>
      <c r="F853" s="18" t="str">
        <f t="shared" si="13"/>
        <v>PEPE1994_Diciembre</v>
      </c>
      <c r="G853" s="1" t="s">
        <v>1596</v>
      </c>
      <c r="H853" s="3">
        <v>3.8680555555555558</v>
      </c>
      <c r="I853" s="3">
        <v>-77.112777777777765</v>
      </c>
      <c r="J853" s="12">
        <v>14</v>
      </c>
      <c r="K853" s="12">
        <v>29.1</v>
      </c>
      <c r="L853" s="4">
        <v>354.96957403651118</v>
      </c>
      <c r="M853" s="5">
        <v>4</v>
      </c>
      <c r="N853" s="5">
        <v>68</v>
      </c>
      <c r="O853" s="5">
        <v>0</v>
      </c>
      <c r="P853" s="5">
        <v>1.84</v>
      </c>
    </row>
    <row r="854" spans="1:16">
      <c r="A854" s="1" t="s">
        <v>867</v>
      </c>
      <c r="B854" s="1" t="s">
        <v>825</v>
      </c>
      <c r="C854" s="1">
        <v>1994</v>
      </c>
      <c r="D854" s="1" t="s">
        <v>1711</v>
      </c>
      <c r="E854" s="17">
        <v>34678</v>
      </c>
      <c r="F854" s="18" t="str">
        <f t="shared" si="13"/>
        <v>PEPE1994_Diciembre</v>
      </c>
      <c r="G854" s="1" t="s">
        <v>1622</v>
      </c>
      <c r="H854" s="3">
        <v>3.9058333333333333</v>
      </c>
      <c r="I854" s="3">
        <v>-77.093055555555551</v>
      </c>
      <c r="J854" s="12">
        <v>11</v>
      </c>
      <c r="K854" s="12">
        <v>29.8</v>
      </c>
      <c r="L854" s="4">
        <v>73.917634635691641</v>
      </c>
      <c r="M854" s="5">
        <v>1</v>
      </c>
      <c r="N854" s="5">
        <v>20</v>
      </c>
      <c r="O854" s="5">
        <v>0</v>
      </c>
      <c r="P854" s="5">
        <v>1.56</v>
      </c>
    </row>
    <row r="855" spans="1:16">
      <c r="A855" s="1" t="s">
        <v>868</v>
      </c>
      <c r="B855" s="1" t="s">
        <v>825</v>
      </c>
      <c r="C855" s="1">
        <v>1994</v>
      </c>
      <c r="D855" s="1" t="s">
        <v>1711</v>
      </c>
      <c r="E855" s="17">
        <v>34683</v>
      </c>
      <c r="F855" s="18" t="str">
        <f t="shared" si="13"/>
        <v>PEPE1994_Diciembre</v>
      </c>
      <c r="G855" s="1" t="s">
        <v>1417</v>
      </c>
      <c r="H855" s="3">
        <v>3.8341666666666669</v>
      </c>
      <c r="I855" s="3">
        <v>-77.327500000000001</v>
      </c>
      <c r="J855" s="12">
        <v>21</v>
      </c>
      <c r="K855" s="12">
        <v>28</v>
      </c>
      <c r="L855" s="4">
        <v>181.47086914995222</v>
      </c>
      <c r="M855" s="5">
        <v>27</v>
      </c>
      <c r="N855" s="5">
        <v>43</v>
      </c>
      <c r="O855" s="5">
        <v>11.7</v>
      </c>
      <c r="P855" s="5">
        <v>8.19</v>
      </c>
    </row>
    <row r="856" spans="1:16">
      <c r="A856" s="1" t="s">
        <v>869</v>
      </c>
      <c r="B856" s="1" t="s">
        <v>825</v>
      </c>
      <c r="C856" s="1">
        <v>1994</v>
      </c>
      <c r="D856" s="1" t="s">
        <v>1711</v>
      </c>
      <c r="E856" s="17">
        <v>34683</v>
      </c>
      <c r="F856" s="18" t="str">
        <f t="shared" si="13"/>
        <v>PEPE1994_Diciembre</v>
      </c>
      <c r="G856" s="1" t="s">
        <v>1418</v>
      </c>
      <c r="H856" s="3">
        <v>3.8280555555555553</v>
      </c>
      <c r="I856" s="3">
        <v>-77.394166666666663</v>
      </c>
      <c r="J856" s="12">
        <v>25</v>
      </c>
      <c r="K856" s="12">
        <v>27.9</v>
      </c>
      <c r="L856" s="4">
        <v>203.16944331572532</v>
      </c>
      <c r="M856" s="5">
        <v>76</v>
      </c>
      <c r="N856" s="5">
        <v>296</v>
      </c>
      <c r="O856" s="5">
        <v>29.92</v>
      </c>
      <c r="P856" s="5">
        <v>76.160000000000011</v>
      </c>
    </row>
    <row r="857" spans="1:16">
      <c r="A857" s="1" t="s">
        <v>870</v>
      </c>
      <c r="B857" s="1" t="s">
        <v>825</v>
      </c>
      <c r="C857" s="1">
        <v>1994</v>
      </c>
      <c r="D857" s="1" t="s">
        <v>1711</v>
      </c>
      <c r="E857" s="17">
        <v>34683</v>
      </c>
      <c r="F857" s="18" t="str">
        <f t="shared" si="13"/>
        <v>PEPE1994_Diciembre</v>
      </c>
      <c r="G857" s="1" t="s">
        <v>1598</v>
      </c>
      <c r="H857" s="3">
        <v>3.6508333333333334</v>
      </c>
      <c r="I857" s="3">
        <v>-77.216666666666669</v>
      </c>
      <c r="J857" s="12">
        <v>21</v>
      </c>
      <c r="K857" s="12">
        <v>29</v>
      </c>
      <c r="L857" s="4">
        <v>92.293493308721722</v>
      </c>
      <c r="M857" s="5">
        <v>2</v>
      </c>
      <c r="N857" s="5">
        <v>1</v>
      </c>
      <c r="O857" s="5">
        <v>0</v>
      </c>
      <c r="P857" s="5">
        <v>0.78</v>
      </c>
    </row>
    <row r="858" spans="1:16">
      <c r="A858" s="1" t="s">
        <v>871</v>
      </c>
      <c r="B858" s="1" t="s">
        <v>825</v>
      </c>
      <c r="C858" s="1">
        <v>1994</v>
      </c>
      <c r="D858" s="1" t="s">
        <v>1711</v>
      </c>
      <c r="E858" s="17">
        <v>34683</v>
      </c>
      <c r="F858" s="18" t="str">
        <f t="shared" si="13"/>
        <v>PEPE1994_Diciembre</v>
      </c>
      <c r="G858" s="1" t="s">
        <v>1555</v>
      </c>
      <c r="H858" s="3">
        <v>3.6774999999999998</v>
      </c>
      <c r="I858" s="3">
        <v>-77.275000000000006</v>
      </c>
      <c r="J858" s="12">
        <v>23</v>
      </c>
      <c r="K858" s="12">
        <v>29</v>
      </c>
      <c r="L858" s="4">
        <v>37.00962250185048</v>
      </c>
      <c r="M858" s="5">
        <v>498</v>
      </c>
      <c r="N858" s="5">
        <v>18</v>
      </c>
      <c r="O858" s="5">
        <v>418.40000000000003</v>
      </c>
      <c r="P858" s="5">
        <v>12.8</v>
      </c>
    </row>
    <row r="859" spans="1:16">
      <c r="A859" s="1" t="s">
        <v>872</v>
      </c>
      <c r="B859" s="1" t="s">
        <v>825</v>
      </c>
      <c r="C859" s="1">
        <v>1994</v>
      </c>
      <c r="D859" s="1" t="s">
        <v>1711</v>
      </c>
      <c r="E859" s="17">
        <v>34683</v>
      </c>
      <c r="F859" s="18" t="str">
        <f t="shared" si="13"/>
        <v>PEPE1994_Diciembre</v>
      </c>
      <c r="G859" s="1" t="s">
        <v>1424</v>
      </c>
      <c r="H859" s="3">
        <v>3.6694444444444443</v>
      </c>
      <c r="I859" s="3">
        <v>-77.359444444444435</v>
      </c>
      <c r="J859" s="12">
        <v>25</v>
      </c>
      <c r="K859" s="12">
        <v>28</v>
      </c>
      <c r="L859" s="4">
        <v>464.25255338904367</v>
      </c>
      <c r="M859" s="5">
        <v>439</v>
      </c>
      <c r="N859" s="5">
        <v>1757</v>
      </c>
      <c r="O859" s="5">
        <v>125.52000000000001</v>
      </c>
      <c r="P859" s="5">
        <v>1098.3000000000002</v>
      </c>
    </row>
    <row r="860" spans="1:16">
      <c r="A860" s="1" t="s">
        <v>873</v>
      </c>
      <c r="B860" s="1" t="s">
        <v>825</v>
      </c>
      <c r="C860" s="1">
        <v>1994</v>
      </c>
      <c r="D860" s="1" t="s">
        <v>1711</v>
      </c>
      <c r="E860" s="17">
        <v>34683</v>
      </c>
      <c r="F860" s="18" t="str">
        <f t="shared" si="13"/>
        <v>PEPE1994_Diciembre</v>
      </c>
      <c r="G860" s="1" t="s">
        <v>1427</v>
      </c>
      <c r="H860" s="3">
        <v>3.5061111111111112</v>
      </c>
      <c r="I860" s="3">
        <v>-77.368611111111107</v>
      </c>
      <c r="J860" s="12">
        <v>23</v>
      </c>
      <c r="K860" s="12">
        <v>29</v>
      </c>
      <c r="L860" s="4">
        <v>145.03263234227703</v>
      </c>
      <c r="M860" s="5">
        <v>90</v>
      </c>
      <c r="N860" s="5">
        <v>16</v>
      </c>
      <c r="O860" s="5">
        <v>54.06</v>
      </c>
      <c r="P860" s="5">
        <v>4.24</v>
      </c>
    </row>
    <row r="861" spans="1:16">
      <c r="A861" s="1" t="s">
        <v>874</v>
      </c>
      <c r="B861" s="1" t="s">
        <v>825</v>
      </c>
      <c r="C861" s="1">
        <v>1994</v>
      </c>
      <c r="D861" s="1" t="s">
        <v>1711</v>
      </c>
      <c r="E861" s="17">
        <v>34683</v>
      </c>
      <c r="F861" s="18" t="str">
        <f t="shared" si="13"/>
        <v>PEPE1994_Diciembre</v>
      </c>
      <c r="G861" s="1" t="s">
        <v>1428</v>
      </c>
      <c r="H861" s="3">
        <v>3.5102777777777781</v>
      </c>
      <c r="I861" s="3">
        <v>-77.448888888888888</v>
      </c>
      <c r="J861" s="12">
        <v>25</v>
      </c>
      <c r="K861" s="12">
        <v>28.3</v>
      </c>
      <c r="L861" s="4">
        <v>1469.5077149155034</v>
      </c>
      <c r="M861" s="5">
        <v>86</v>
      </c>
      <c r="N861" s="5">
        <v>1397</v>
      </c>
      <c r="O861" s="5">
        <v>13.18</v>
      </c>
      <c r="P861" s="5">
        <v>158.16</v>
      </c>
    </row>
    <row r="862" spans="1:16">
      <c r="A862" s="1" t="s">
        <v>875</v>
      </c>
      <c r="B862" s="1" t="s">
        <v>825</v>
      </c>
      <c r="C862" s="1">
        <v>1994</v>
      </c>
      <c r="D862" s="1" t="s">
        <v>1711</v>
      </c>
      <c r="E862" s="17">
        <v>34683</v>
      </c>
      <c r="F862" s="18" t="str">
        <f t="shared" si="13"/>
        <v>PEPE1994_Diciembre</v>
      </c>
      <c r="G862" s="1" t="s">
        <v>1558</v>
      </c>
      <c r="H862" s="3">
        <v>3.3344444444444448</v>
      </c>
      <c r="I862" s="3">
        <v>-77.50833333333334</v>
      </c>
      <c r="J862" s="12">
        <v>5</v>
      </c>
      <c r="K862" s="12">
        <v>26</v>
      </c>
      <c r="L862" s="4">
        <v>217.12158808933</v>
      </c>
      <c r="M862" s="5">
        <v>86</v>
      </c>
      <c r="N862" s="5">
        <v>59</v>
      </c>
      <c r="O862" s="5">
        <v>32.119999999999997</v>
      </c>
      <c r="P862" s="5">
        <v>33.58</v>
      </c>
    </row>
    <row r="863" spans="1:16">
      <c r="A863" s="1" t="s">
        <v>876</v>
      </c>
      <c r="B863" s="1" t="s">
        <v>825</v>
      </c>
      <c r="C863" s="1">
        <v>1994</v>
      </c>
      <c r="D863" s="1" t="s">
        <v>1711</v>
      </c>
      <c r="E863" s="17">
        <v>34683</v>
      </c>
      <c r="F863" s="18" t="str">
        <f t="shared" si="13"/>
        <v>PEPE1994_Diciembre</v>
      </c>
      <c r="G863" s="1" t="s">
        <v>1559</v>
      </c>
      <c r="H863" s="3">
        <v>3.3333333333333335</v>
      </c>
      <c r="I863" s="3">
        <v>-77.570833333333326</v>
      </c>
      <c r="J863" s="12">
        <v>25</v>
      </c>
      <c r="K863" s="12">
        <v>28</v>
      </c>
      <c r="L863" s="4">
        <v>2119.3771626297575</v>
      </c>
      <c r="M863" s="5">
        <v>4908</v>
      </c>
      <c r="N863" s="5">
        <v>1727</v>
      </c>
      <c r="O863" s="5">
        <v>4702.5</v>
      </c>
      <c r="P863" s="5">
        <v>513</v>
      </c>
    </row>
    <row r="864" spans="1:16">
      <c r="A864" s="1" t="s">
        <v>877</v>
      </c>
      <c r="B864" s="1" t="s">
        <v>825</v>
      </c>
      <c r="C864" s="1">
        <v>1994</v>
      </c>
      <c r="D864" s="1" t="s">
        <v>1711</v>
      </c>
      <c r="E864" s="17">
        <v>34683</v>
      </c>
      <c r="F864" s="18" t="str">
        <f t="shared" si="13"/>
        <v>PEPE1994_Diciembre</v>
      </c>
      <c r="G864" s="1" t="s">
        <v>1434</v>
      </c>
      <c r="H864" s="3">
        <v>3.3341666666666669</v>
      </c>
      <c r="I864" s="3">
        <v>-77.653055555555568</v>
      </c>
      <c r="J864" s="12">
        <v>26</v>
      </c>
      <c r="K864" s="12">
        <v>28</v>
      </c>
      <c r="L864" s="4">
        <v>508.06933652121933</v>
      </c>
      <c r="M864" s="5">
        <v>14</v>
      </c>
      <c r="N864" s="5">
        <v>1284</v>
      </c>
      <c r="O864" s="5">
        <v>0</v>
      </c>
      <c r="P864" s="5">
        <v>530.48</v>
      </c>
    </row>
    <row r="865" spans="1:16">
      <c r="A865" s="1" t="s">
        <v>878</v>
      </c>
      <c r="B865" s="1" t="s">
        <v>825</v>
      </c>
      <c r="C865" s="1">
        <v>1994</v>
      </c>
      <c r="D865" s="1" t="s">
        <v>1711</v>
      </c>
      <c r="E865" s="17">
        <v>34684</v>
      </c>
      <c r="F865" s="18" t="str">
        <f t="shared" si="13"/>
        <v>PEPE1994_Diciembre</v>
      </c>
      <c r="G865" s="1" t="s">
        <v>1437</v>
      </c>
      <c r="H865" s="3">
        <v>3.1669444444444443</v>
      </c>
      <c r="I865" s="3">
        <v>-77.591944444444437</v>
      </c>
      <c r="J865" s="12">
        <v>24</v>
      </c>
      <c r="K865" s="12">
        <v>28</v>
      </c>
      <c r="L865" s="4">
        <v>188.12709030100334</v>
      </c>
      <c r="M865" s="5">
        <v>362</v>
      </c>
      <c r="N865" s="5">
        <v>65</v>
      </c>
      <c r="O865" s="5">
        <v>116.8</v>
      </c>
      <c r="P865" s="5">
        <v>51.2</v>
      </c>
    </row>
    <row r="866" spans="1:16">
      <c r="A866" s="1" t="s">
        <v>879</v>
      </c>
      <c r="B866" s="1" t="s">
        <v>825</v>
      </c>
      <c r="C866" s="1">
        <v>1994</v>
      </c>
      <c r="D866" s="1" t="s">
        <v>1711</v>
      </c>
      <c r="E866" s="17">
        <v>34684</v>
      </c>
      <c r="F866" s="18" t="str">
        <f t="shared" si="13"/>
        <v>PEPE1994_Diciembre</v>
      </c>
      <c r="G866" s="1" t="s">
        <v>1438</v>
      </c>
      <c r="H866" s="3">
        <v>3.1666666666666665</v>
      </c>
      <c r="I866" s="3">
        <v>-77.663888888888891</v>
      </c>
      <c r="J866" s="12">
        <v>26</v>
      </c>
      <c r="K866" s="12">
        <v>28</v>
      </c>
      <c r="L866" s="4">
        <v>1174.2100768573869</v>
      </c>
      <c r="M866" s="5">
        <v>9</v>
      </c>
      <c r="N866" s="5">
        <v>2322</v>
      </c>
      <c r="O866" s="5">
        <v>0</v>
      </c>
      <c r="P866" s="5">
        <v>1273.6799999999998</v>
      </c>
    </row>
    <row r="867" spans="1:16">
      <c r="A867" s="1" t="s">
        <v>880</v>
      </c>
      <c r="B867" s="1" t="s">
        <v>825</v>
      </c>
      <c r="C867" s="1">
        <v>1994</v>
      </c>
      <c r="D867" s="1" t="s">
        <v>1711</v>
      </c>
      <c r="E867" s="17">
        <v>34684</v>
      </c>
      <c r="F867" s="18" t="str">
        <f t="shared" si="13"/>
        <v>PEPE1994_Diciembre</v>
      </c>
      <c r="G867" s="1" t="s">
        <v>1439</v>
      </c>
      <c r="H867" s="3">
        <v>3.1666666666666665</v>
      </c>
      <c r="I867" s="3">
        <v>-77.75</v>
      </c>
      <c r="J867" s="12">
        <v>29</v>
      </c>
      <c r="K867" s="12">
        <v>27.8</v>
      </c>
      <c r="L867" s="4">
        <v>144.57831325301206</v>
      </c>
      <c r="M867" s="5">
        <v>7</v>
      </c>
      <c r="N867" s="5">
        <v>506</v>
      </c>
      <c r="O867" s="5">
        <v>6.74</v>
      </c>
      <c r="P867" s="5">
        <v>363.96000000000004</v>
      </c>
    </row>
    <row r="868" spans="1:16">
      <c r="A868" s="1" t="s">
        <v>881</v>
      </c>
      <c r="B868" s="1" t="s">
        <v>825</v>
      </c>
      <c r="C868" s="1">
        <v>1994</v>
      </c>
      <c r="D868" s="1" t="s">
        <v>1711</v>
      </c>
      <c r="E868" s="17">
        <v>34684</v>
      </c>
      <c r="F868" s="18" t="str">
        <f t="shared" si="13"/>
        <v>PEPE1994_Diciembre</v>
      </c>
      <c r="G868" s="1" t="s">
        <v>1562</v>
      </c>
      <c r="H868" s="3">
        <v>3</v>
      </c>
      <c r="I868" s="3">
        <v>-77.739166666666662</v>
      </c>
      <c r="J868" s="12">
        <v>22</v>
      </c>
      <c r="K868" s="12">
        <v>30</v>
      </c>
      <c r="L868" s="4">
        <v>94.232943837165465</v>
      </c>
      <c r="M868" s="5">
        <v>139</v>
      </c>
      <c r="N868" s="5">
        <v>5</v>
      </c>
      <c r="O868" s="5">
        <v>70.38000000000001</v>
      </c>
      <c r="P868" s="5">
        <v>2.7600000000000002</v>
      </c>
    </row>
    <row r="869" spans="1:16">
      <c r="A869" s="1" t="s">
        <v>882</v>
      </c>
      <c r="B869" s="1" t="s">
        <v>825</v>
      </c>
      <c r="C869" s="1">
        <v>1994</v>
      </c>
      <c r="D869" s="1" t="s">
        <v>1711</v>
      </c>
      <c r="E869" s="17">
        <v>34684</v>
      </c>
      <c r="F869" s="18" t="str">
        <f t="shared" si="13"/>
        <v>PEPE1994_Diciembre</v>
      </c>
      <c r="G869" s="1" t="s">
        <v>1443</v>
      </c>
      <c r="H869" s="3">
        <v>3.0016666666666665</v>
      </c>
      <c r="I869" s="3">
        <v>-77.787777777777777</v>
      </c>
      <c r="J869" s="12">
        <v>22</v>
      </c>
      <c r="K869" s="12">
        <v>29</v>
      </c>
      <c r="L869" s="4">
        <v>332.96337402885683</v>
      </c>
      <c r="M869" s="5">
        <v>40</v>
      </c>
      <c r="N869" s="5">
        <v>493</v>
      </c>
      <c r="O869" s="5">
        <v>9.9</v>
      </c>
      <c r="P869" s="5">
        <v>172.26</v>
      </c>
    </row>
    <row r="870" spans="1:16">
      <c r="A870" s="1" t="s">
        <v>883</v>
      </c>
      <c r="B870" s="1" t="s">
        <v>825</v>
      </c>
      <c r="C870" s="1">
        <v>1994</v>
      </c>
      <c r="D870" s="1" t="s">
        <v>1711</v>
      </c>
      <c r="E870" s="17">
        <v>34684</v>
      </c>
      <c r="F870" s="18" t="str">
        <f t="shared" si="13"/>
        <v>PEPE1994_Diciembre</v>
      </c>
      <c r="G870" s="1" t="s">
        <v>1447</v>
      </c>
      <c r="H870" s="3">
        <v>2.8347222222222226</v>
      </c>
      <c r="I870" s="3">
        <v>-77.836944444444441</v>
      </c>
      <c r="J870" s="12">
        <v>25</v>
      </c>
      <c r="K870" s="12">
        <v>29</v>
      </c>
      <c r="L870" s="4">
        <v>227.27272727272728</v>
      </c>
      <c r="M870" s="5">
        <v>892</v>
      </c>
      <c r="N870" s="5">
        <v>12</v>
      </c>
      <c r="O870" s="5">
        <v>561.17999999999995</v>
      </c>
      <c r="P870" s="5">
        <v>2.82</v>
      </c>
    </row>
    <row r="871" spans="1:16">
      <c r="A871" s="1" t="s">
        <v>884</v>
      </c>
      <c r="B871" s="1" t="s">
        <v>825</v>
      </c>
      <c r="C871" s="1">
        <v>1994</v>
      </c>
      <c r="D871" s="1" t="s">
        <v>1711</v>
      </c>
      <c r="E871" s="17">
        <v>34685</v>
      </c>
      <c r="F871" s="18" t="str">
        <f t="shared" si="13"/>
        <v>PEPE1994_Diciembre</v>
      </c>
      <c r="G871" s="1" t="s">
        <v>1626</v>
      </c>
      <c r="H871" s="3">
        <v>2.7055555555555557</v>
      </c>
      <c r="I871" s="3">
        <v>-78.202777777777783</v>
      </c>
      <c r="J871" s="12">
        <v>29</v>
      </c>
      <c r="K871" s="12">
        <v>27.85</v>
      </c>
      <c r="L871" s="4">
        <v>50.994390617032131</v>
      </c>
      <c r="M871" s="5">
        <v>34</v>
      </c>
      <c r="N871" s="5">
        <v>5</v>
      </c>
      <c r="O871" s="5">
        <v>2.3499999999999996</v>
      </c>
      <c r="P871" s="5">
        <v>1.41</v>
      </c>
    </row>
    <row r="872" spans="1:16">
      <c r="A872" s="1" t="s">
        <v>885</v>
      </c>
      <c r="B872" s="1" t="s">
        <v>825</v>
      </c>
      <c r="C872" s="1">
        <v>1994</v>
      </c>
      <c r="D872" s="1" t="s">
        <v>1711</v>
      </c>
      <c r="E872" s="17">
        <v>34685</v>
      </c>
      <c r="F872" s="18" t="str">
        <f t="shared" si="13"/>
        <v>PEPE1994_Diciembre</v>
      </c>
      <c r="G872" s="1" t="s">
        <v>1603</v>
      </c>
      <c r="H872" s="3">
        <v>2.722777777777778</v>
      </c>
      <c r="I872" s="3">
        <v>-77.956388888888895</v>
      </c>
      <c r="J872" s="12">
        <v>16</v>
      </c>
      <c r="K872" s="12">
        <v>27</v>
      </c>
      <c r="L872" s="4">
        <v>165.70008285004141</v>
      </c>
      <c r="M872" s="5">
        <v>233</v>
      </c>
      <c r="N872" s="5">
        <v>5</v>
      </c>
      <c r="O872" s="5">
        <v>0</v>
      </c>
      <c r="P872" s="5">
        <v>2.8699999999999997</v>
      </c>
    </row>
    <row r="873" spans="1:16">
      <c r="A873" s="1" t="s">
        <v>886</v>
      </c>
      <c r="B873" s="1" t="s">
        <v>825</v>
      </c>
      <c r="C873" s="1">
        <v>1994</v>
      </c>
      <c r="D873" s="1" t="s">
        <v>1711</v>
      </c>
      <c r="E873" s="17">
        <v>34685</v>
      </c>
      <c r="F873" s="18" t="str">
        <f t="shared" si="13"/>
        <v>PEPE1994_Diciembre</v>
      </c>
      <c r="G873" s="1" t="s">
        <v>1565</v>
      </c>
      <c r="H873" s="3">
        <v>2.6880555555555556</v>
      </c>
      <c r="I873" s="3">
        <v>-78.374166666666653</v>
      </c>
      <c r="J873" s="12">
        <v>15</v>
      </c>
      <c r="K873" s="12">
        <v>27.75</v>
      </c>
      <c r="L873" s="4">
        <v>57.388809182209464</v>
      </c>
      <c r="M873" s="5">
        <v>149</v>
      </c>
      <c r="N873" s="5">
        <v>26</v>
      </c>
      <c r="O873" s="5">
        <v>5.82</v>
      </c>
      <c r="P873" s="5">
        <v>4.8499999999999996</v>
      </c>
    </row>
    <row r="874" spans="1:16">
      <c r="A874" s="1" t="s">
        <v>887</v>
      </c>
      <c r="B874" s="1" t="s">
        <v>825</v>
      </c>
      <c r="C874" s="1">
        <v>1994</v>
      </c>
      <c r="D874" s="1" t="s">
        <v>1711</v>
      </c>
      <c r="E874" s="17">
        <v>34685</v>
      </c>
      <c r="F874" s="18" t="str">
        <f t="shared" si="13"/>
        <v>PEPE1994_Diciembre</v>
      </c>
      <c r="G874" s="1" t="s">
        <v>1522</v>
      </c>
      <c r="H874" s="3">
        <v>2.6755555555555555</v>
      </c>
      <c r="I874" s="3">
        <v>-78.447500000000005</v>
      </c>
      <c r="J874" s="12">
        <v>30</v>
      </c>
      <c r="K874" s="12">
        <v>27.8</v>
      </c>
      <c r="L874" s="4">
        <v>263.96832380114387</v>
      </c>
      <c r="M874" s="5">
        <v>41</v>
      </c>
      <c r="N874" s="5">
        <v>65</v>
      </c>
      <c r="O874" s="5">
        <v>0</v>
      </c>
      <c r="P874" s="5">
        <v>9.3000000000000007</v>
      </c>
    </row>
    <row r="875" spans="1:16">
      <c r="A875" s="1" t="s">
        <v>888</v>
      </c>
      <c r="B875" s="1" t="s">
        <v>825</v>
      </c>
      <c r="C875" s="1">
        <v>1994</v>
      </c>
      <c r="D875" s="1" t="s">
        <v>1711</v>
      </c>
      <c r="E875" s="17">
        <v>34685</v>
      </c>
      <c r="F875" s="18" t="str">
        <f t="shared" si="13"/>
        <v>PEPE1994_Diciembre</v>
      </c>
      <c r="G875" s="1" t="s">
        <v>1456</v>
      </c>
      <c r="H875" s="3">
        <v>2.5077777777777777</v>
      </c>
      <c r="I875" s="3">
        <v>-78.552777777777777</v>
      </c>
      <c r="J875" s="12">
        <v>30</v>
      </c>
      <c r="K875" s="12">
        <v>27.8</v>
      </c>
      <c r="L875" s="4">
        <v>86.542622241453913</v>
      </c>
      <c r="M875" s="5">
        <v>52</v>
      </c>
      <c r="N875" s="5">
        <v>11</v>
      </c>
      <c r="O875" s="5">
        <v>3.74</v>
      </c>
      <c r="P875" s="5">
        <v>2.3800000000000003</v>
      </c>
    </row>
    <row r="876" spans="1:16">
      <c r="A876" s="1" t="s">
        <v>889</v>
      </c>
      <c r="B876" s="1" t="s">
        <v>825</v>
      </c>
      <c r="C876" s="1">
        <v>1994</v>
      </c>
      <c r="D876" s="1" t="s">
        <v>1711</v>
      </c>
      <c r="E876" s="17">
        <v>34685</v>
      </c>
      <c r="F876" s="18" t="str">
        <f t="shared" si="13"/>
        <v>PEPE1994_Diciembre</v>
      </c>
      <c r="G876" s="1" t="s">
        <v>1569</v>
      </c>
      <c r="H876" s="3">
        <v>2.3502777777777779</v>
      </c>
      <c r="I876" s="3">
        <v>-78.660833333333343</v>
      </c>
      <c r="J876" s="12">
        <v>30</v>
      </c>
      <c r="K876" s="12">
        <v>26.75</v>
      </c>
      <c r="L876" s="4">
        <v>263.0320420851267</v>
      </c>
      <c r="M876" s="5">
        <v>702</v>
      </c>
      <c r="N876" s="5">
        <v>310</v>
      </c>
      <c r="O876" s="5">
        <v>190.4</v>
      </c>
      <c r="P876" s="5">
        <v>146.88000000000002</v>
      </c>
    </row>
    <row r="877" spans="1:16">
      <c r="A877" s="1" t="s">
        <v>890</v>
      </c>
      <c r="B877" s="1" t="s">
        <v>825</v>
      </c>
      <c r="C877" s="1">
        <v>1994</v>
      </c>
      <c r="D877" s="1" t="s">
        <v>1711</v>
      </c>
      <c r="E877" s="17">
        <v>34685</v>
      </c>
      <c r="F877" s="18" t="str">
        <f t="shared" si="13"/>
        <v>PEPE1994_Diciembre</v>
      </c>
      <c r="G877" s="1" t="s">
        <v>1462</v>
      </c>
      <c r="H877" s="3">
        <v>2.3333333333333335</v>
      </c>
      <c r="I877" s="3">
        <v>-78.737777777777779</v>
      </c>
      <c r="J877" s="12">
        <v>30</v>
      </c>
      <c r="K877" s="12">
        <v>27.8</v>
      </c>
      <c r="L877" s="4">
        <v>218.81838074398249</v>
      </c>
      <c r="M877" s="5">
        <v>94</v>
      </c>
      <c r="N877" s="5">
        <v>330</v>
      </c>
      <c r="O877" s="5">
        <v>23.59</v>
      </c>
      <c r="P877" s="5">
        <v>23.59</v>
      </c>
    </row>
    <row r="878" spans="1:16">
      <c r="A878" s="1" t="s">
        <v>891</v>
      </c>
      <c r="B878" s="1" t="s">
        <v>825</v>
      </c>
      <c r="C878" s="1">
        <v>1994</v>
      </c>
      <c r="D878" s="1" t="s">
        <v>1711</v>
      </c>
      <c r="E878" s="17">
        <v>34685</v>
      </c>
      <c r="F878" s="18" t="str">
        <f t="shared" si="13"/>
        <v>PEPE1994_Diciembre</v>
      </c>
      <c r="G878" s="1" t="s">
        <v>1463</v>
      </c>
      <c r="H878" s="3">
        <v>2.3333333333333335</v>
      </c>
      <c r="I878" s="3">
        <v>-78.826388888888886</v>
      </c>
      <c r="J878" s="12">
        <v>33</v>
      </c>
      <c r="K878" s="12">
        <v>27</v>
      </c>
      <c r="L878" s="4">
        <v>253.87870239774327</v>
      </c>
      <c r="M878" s="5">
        <v>567</v>
      </c>
      <c r="N878" s="5">
        <v>1395</v>
      </c>
      <c r="O878" s="5">
        <v>283.27</v>
      </c>
      <c r="P878" s="5">
        <v>152.53</v>
      </c>
    </row>
    <row r="879" spans="1:16">
      <c r="A879" s="1" t="s">
        <v>892</v>
      </c>
      <c r="B879" s="1" t="s">
        <v>825</v>
      </c>
      <c r="C879" s="1">
        <v>1994</v>
      </c>
      <c r="D879" s="1" t="s">
        <v>1711</v>
      </c>
      <c r="E879" s="17">
        <v>34685</v>
      </c>
      <c r="F879" s="18" t="str">
        <f t="shared" si="13"/>
        <v>PEPE1994_Diciembre</v>
      </c>
      <c r="G879" s="1" t="s">
        <v>1466</v>
      </c>
      <c r="H879" s="3">
        <v>2.1638888888888888</v>
      </c>
      <c r="I879" s="3">
        <v>-78.731944444444451</v>
      </c>
      <c r="J879" s="12">
        <v>30</v>
      </c>
      <c r="K879" s="12">
        <v>28</v>
      </c>
      <c r="L879" s="4">
        <v>101.41987829614605</v>
      </c>
      <c r="M879" s="5">
        <v>93</v>
      </c>
      <c r="N879" s="5">
        <v>85</v>
      </c>
      <c r="O879" s="5">
        <v>14.190000000000001</v>
      </c>
      <c r="P879" s="5">
        <v>63.21</v>
      </c>
    </row>
    <row r="880" spans="1:16">
      <c r="A880" s="1" t="s">
        <v>893</v>
      </c>
      <c r="B880" s="1" t="s">
        <v>825</v>
      </c>
      <c r="C880" s="1">
        <v>1994</v>
      </c>
      <c r="D880" s="1" t="s">
        <v>1711</v>
      </c>
      <c r="E880" s="17">
        <v>34686</v>
      </c>
      <c r="F880" s="18" t="str">
        <f t="shared" si="13"/>
        <v>PEPE1994_Diciembre</v>
      </c>
      <c r="G880" s="1" t="s">
        <v>1605</v>
      </c>
      <c r="H880" s="3">
        <v>1.9752777777777779</v>
      </c>
      <c r="I880" s="3">
        <v>-78.644722222222228</v>
      </c>
      <c r="J880" s="12">
        <v>30</v>
      </c>
      <c r="K880" s="12">
        <v>27</v>
      </c>
      <c r="L880" s="4">
        <v>52.164840897235258</v>
      </c>
      <c r="M880" s="5">
        <v>359</v>
      </c>
      <c r="N880" s="5">
        <v>37</v>
      </c>
      <c r="O880" s="5">
        <v>252</v>
      </c>
      <c r="P880" s="5">
        <v>22.8</v>
      </c>
    </row>
    <row r="881" spans="1:16">
      <c r="A881" s="1" t="s">
        <v>894</v>
      </c>
      <c r="B881" s="1" t="s">
        <v>825</v>
      </c>
      <c r="C881" s="1">
        <v>1994</v>
      </c>
      <c r="D881" s="1" t="s">
        <v>1711</v>
      </c>
      <c r="E881" s="17">
        <v>34686</v>
      </c>
      <c r="F881" s="18" t="str">
        <f t="shared" si="13"/>
        <v>PEPE1994_Diciembre</v>
      </c>
      <c r="G881" s="1" t="s">
        <v>1606</v>
      </c>
      <c r="H881" s="3">
        <v>1.8880555555555556</v>
      </c>
      <c r="I881" s="3">
        <v>-78.590555555555554</v>
      </c>
      <c r="J881" s="12">
        <v>28</v>
      </c>
      <c r="K881" s="12">
        <v>26.5</v>
      </c>
      <c r="L881" s="4">
        <v>1334.0448239060834</v>
      </c>
      <c r="M881" s="5">
        <v>37</v>
      </c>
      <c r="N881" s="5">
        <v>31</v>
      </c>
      <c r="O881" s="5">
        <v>0</v>
      </c>
      <c r="P881" s="5">
        <v>26.459999999999997</v>
      </c>
    </row>
    <row r="882" spans="1:16">
      <c r="A882" s="1" t="s">
        <v>895</v>
      </c>
      <c r="B882" s="1" t="s">
        <v>825</v>
      </c>
      <c r="C882" s="1">
        <v>1994</v>
      </c>
      <c r="D882" s="1" t="s">
        <v>1711</v>
      </c>
      <c r="E882" s="17">
        <v>34687</v>
      </c>
      <c r="F882" s="18" t="str">
        <f t="shared" si="13"/>
        <v>PEPE1994_Diciembre</v>
      </c>
      <c r="G882" s="1" t="s">
        <v>1607</v>
      </c>
      <c r="H882" s="3">
        <v>1.848888888888889</v>
      </c>
      <c r="I882" s="3">
        <v>-78.710277777777776</v>
      </c>
      <c r="J882" s="12">
        <v>30</v>
      </c>
      <c r="K882" s="12">
        <v>27.3</v>
      </c>
      <c r="L882" s="4">
        <v>786.44888082274645</v>
      </c>
      <c r="M882" s="5">
        <v>201</v>
      </c>
      <c r="N882" s="5">
        <v>53</v>
      </c>
      <c r="O882" s="5">
        <v>8.5</v>
      </c>
      <c r="P882" s="5">
        <v>22.099999999999998</v>
      </c>
    </row>
    <row r="883" spans="1:16">
      <c r="A883" s="1" t="s">
        <v>896</v>
      </c>
      <c r="B883" s="1" t="s">
        <v>825</v>
      </c>
      <c r="C883" s="1">
        <v>1994</v>
      </c>
      <c r="D883" s="1" t="s">
        <v>1711</v>
      </c>
      <c r="E883" s="17">
        <v>34685</v>
      </c>
      <c r="F883" s="18" t="str">
        <f t="shared" si="13"/>
        <v>PEPE1994_Diciembre</v>
      </c>
      <c r="G883" s="1" t="s">
        <v>1471</v>
      </c>
      <c r="H883" s="3">
        <v>2.0108333333333333</v>
      </c>
      <c r="I883" s="3">
        <v>-78.691944444444445</v>
      </c>
      <c r="J883" s="12">
        <v>30</v>
      </c>
      <c r="K883" s="12">
        <v>27</v>
      </c>
      <c r="L883" s="4">
        <v>127.48597654258032</v>
      </c>
      <c r="M883" s="5">
        <v>573</v>
      </c>
      <c r="N883" s="5">
        <v>422</v>
      </c>
      <c r="O883" s="5">
        <v>29.4</v>
      </c>
      <c r="P883" s="5">
        <v>266.07</v>
      </c>
    </row>
    <row r="884" spans="1:16">
      <c r="A884" s="1" t="s">
        <v>897</v>
      </c>
      <c r="B884" s="1" t="s">
        <v>825</v>
      </c>
      <c r="C884" s="1">
        <v>1994</v>
      </c>
      <c r="D884" s="1" t="s">
        <v>1711</v>
      </c>
      <c r="E884" s="17">
        <v>34685</v>
      </c>
      <c r="F884" s="18" t="str">
        <f t="shared" si="13"/>
        <v>PEPE1994_Diciembre</v>
      </c>
      <c r="G884" s="1" t="s">
        <v>1472</v>
      </c>
      <c r="H884" s="3">
        <v>2.0230555555555556</v>
      </c>
      <c r="I884" s="3">
        <v>-78.759722222222223</v>
      </c>
      <c r="J884" s="12">
        <v>31</v>
      </c>
      <c r="K884" s="12">
        <v>27</v>
      </c>
      <c r="L884" s="4">
        <v>209.49720670391062</v>
      </c>
      <c r="M884" s="5">
        <v>680</v>
      </c>
      <c r="N884" s="5">
        <v>1219</v>
      </c>
      <c r="O884" s="5">
        <v>113.36</v>
      </c>
      <c r="P884" s="5">
        <v>510.12</v>
      </c>
    </row>
    <row r="885" spans="1:16">
      <c r="A885" s="1" t="s">
        <v>898</v>
      </c>
      <c r="B885" s="1" t="s">
        <v>825</v>
      </c>
      <c r="C885" s="1">
        <v>1994</v>
      </c>
      <c r="D885" s="1" t="s">
        <v>1711</v>
      </c>
      <c r="E885" s="17">
        <v>34685</v>
      </c>
      <c r="F885" s="18" t="str">
        <f t="shared" si="13"/>
        <v>PEPE1994_Diciembre</v>
      </c>
      <c r="G885" s="1" t="s">
        <v>1473</v>
      </c>
      <c r="H885" s="3">
        <v>2.0005555555555556</v>
      </c>
      <c r="I885" s="3">
        <v>-78.843333333333334</v>
      </c>
      <c r="J885" s="12">
        <v>32</v>
      </c>
      <c r="K885" s="12">
        <v>27.8</v>
      </c>
      <c r="L885" s="4">
        <v>180.12608826178322</v>
      </c>
      <c r="M885" s="5">
        <v>154</v>
      </c>
      <c r="N885" s="5">
        <v>1522</v>
      </c>
      <c r="O885" s="5">
        <v>0</v>
      </c>
      <c r="P885" s="5">
        <v>250.38000000000002</v>
      </c>
    </row>
    <row r="886" spans="1:16">
      <c r="A886" s="1" t="s">
        <v>899</v>
      </c>
      <c r="B886" s="1" t="s">
        <v>825</v>
      </c>
      <c r="C886" s="1">
        <v>1994</v>
      </c>
      <c r="D886" s="1" t="s">
        <v>1711</v>
      </c>
      <c r="E886" s="17">
        <v>34687</v>
      </c>
      <c r="F886" s="18" t="str">
        <f t="shared" si="13"/>
        <v>PEPE1994_Diciembre</v>
      </c>
      <c r="G886" s="1" t="s">
        <v>1477</v>
      </c>
      <c r="H886" s="3">
        <v>1.8511111111111112</v>
      </c>
      <c r="I886" s="3">
        <v>-78.758611111111108</v>
      </c>
      <c r="J886" s="12">
        <v>33</v>
      </c>
      <c r="K886" s="12">
        <v>26.9</v>
      </c>
      <c r="L886" s="4">
        <v>362.31884057971018</v>
      </c>
      <c r="M886" s="5">
        <v>391</v>
      </c>
      <c r="N886" s="5">
        <v>128</v>
      </c>
      <c r="O886" s="5">
        <v>34.729999999999997</v>
      </c>
      <c r="P886" s="5">
        <v>77.010000000000005</v>
      </c>
    </row>
    <row r="887" spans="1:16">
      <c r="A887" s="1" t="s">
        <v>900</v>
      </c>
      <c r="B887" s="1" t="s">
        <v>825</v>
      </c>
      <c r="C887" s="1">
        <v>1994</v>
      </c>
      <c r="D887" s="1" t="s">
        <v>1711</v>
      </c>
      <c r="E887" s="17">
        <v>34687</v>
      </c>
      <c r="F887" s="18" t="str">
        <f t="shared" si="13"/>
        <v>PEPE1994_Diciembre</v>
      </c>
      <c r="G887" s="1" t="s">
        <v>1478</v>
      </c>
      <c r="H887" s="3">
        <v>1.8355555555555556</v>
      </c>
      <c r="I887" s="3">
        <v>-78.826388888888886</v>
      </c>
      <c r="J887" s="12">
        <v>33</v>
      </c>
      <c r="K887" s="12">
        <v>26.9</v>
      </c>
      <c r="L887" s="4">
        <v>90.579710144927546</v>
      </c>
      <c r="M887" s="5">
        <v>1001</v>
      </c>
      <c r="N887" s="5">
        <v>34</v>
      </c>
      <c r="O887" s="5">
        <v>91.199999999999989</v>
      </c>
      <c r="P887" s="5">
        <v>10.45</v>
      </c>
    </row>
    <row r="888" spans="1:16">
      <c r="A888" s="1" t="s">
        <v>901</v>
      </c>
      <c r="B888" s="1" t="s">
        <v>825</v>
      </c>
      <c r="C888" s="1">
        <v>1994</v>
      </c>
      <c r="D888" s="1" t="s">
        <v>1711</v>
      </c>
      <c r="E888" s="17">
        <v>34687</v>
      </c>
      <c r="F888" s="18" t="str">
        <f t="shared" si="13"/>
        <v>PEPE1994_Diciembre</v>
      </c>
      <c r="G888" s="1" t="s">
        <v>1479</v>
      </c>
      <c r="H888" s="3">
        <v>1.8333333333333335</v>
      </c>
      <c r="I888" s="3">
        <v>-78.904722222222233</v>
      </c>
      <c r="J888" s="12">
        <v>31</v>
      </c>
      <c r="K888" s="12">
        <v>27.4</v>
      </c>
      <c r="L888" s="4">
        <v>161.37708445400753</v>
      </c>
      <c r="M888" s="5">
        <v>674</v>
      </c>
      <c r="N888" s="5">
        <v>728</v>
      </c>
      <c r="O888" s="5">
        <v>74.14</v>
      </c>
      <c r="P888" s="5">
        <v>80.88</v>
      </c>
    </row>
    <row r="889" spans="1:16">
      <c r="A889" s="1" t="s">
        <v>902</v>
      </c>
      <c r="B889" s="1" t="s">
        <v>825</v>
      </c>
      <c r="C889" s="1">
        <v>1994</v>
      </c>
      <c r="D889" s="1" t="s">
        <v>1711</v>
      </c>
      <c r="E889" s="17">
        <v>34687</v>
      </c>
      <c r="F889" s="18" t="str">
        <f t="shared" si="13"/>
        <v>PEPE1994_Diciembre</v>
      </c>
      <c r="G889" s="1" t="s">
        <v>1576</v>
      </c>
      <c r="H889" s="3">
        <v>1.6775</v>
      </c>
      <c r="I889" s="3">
        <v>-79.016944444444448</v>
      </c>
      <c r="J889" s="12">
        <v>20</v>
      </c>
      <c r="K889" s="12">
        <v>26.8</v>
      </c>
      <c r="L889" s="4">
        <v>104.98687664041995</v>
      </c>
      <c r="M889" s="5">
        <v>771</v>
      </c>
      <c r="N889" s="5">
        <v>2609</v>
      </c>
      <c r="O889" s="5">
        <v>189.28</v>
      </c>
      <c r="P889" s="5">
        <v>905.83999999999992</v>
      </c>
    </row>
    <row r="890" spans="1:16">
      <c r="A890" s="1" t="s">
        <v>903</v>
      </c>
      <c r="B890" s="1" t="s">
        <v>825</v>
      </c>
      <c r="C890" s="1">
        <v>1994</v>
      </c>
      <c r="D890" s="1" t="s">
        <v>1711</v>
      </c>
      <c r="E890" s="17">
        <v>34687</v>
      </c>
      <c r="F890" s="18" t="str">
        <f t="shared" si="13"/>
        <v>PEPE1994_Diciembre</v>
      </c>
      <c r="G890" s="1" t="s">
        <v>1630</v>
      </c>
      <c r="H890" s="3">
        <v>1.5158333333333334</v>
      </c>
      <c r="I890" s="3">
        <v>-78.942222222222227</v>
      </c>
      <c r="J890" s="12">
        <v>26</v>
      </c>
      <c r="K890" s="12">
        <v>27.8</v>
      </c>
      <c r="L890" s="4">
        <v>207.79220779220779</v>
      </c>
      <c r="M890" s="5">
        <v>95</v>
      </c>
      <c r="N890" s="5">
        <v>50</v>
      </c>
      <c r="O890" s="5">
        <v>3.48</v>
      </c>
      <c r="P890" s="5">
        <v>27.84</v>
      </c>
    </row>
    <row r="891" spans="1:16">
      <c r="A891" s="1" t="s">
        <v>904</v>
      </c>
      <c r="B891" s="1" t="s">
        <v>825</v>
      </c>
      <c r="C891" s="1">
        <v>1994</v>
      </c>
      <c r="D891" s="1" t="s">
        <v>1711</v>
      </c>
      <c r="E891" s="17">
        <v>34687</v>
      </c>
      <c r="F891" s="18" t="str">
        <f t="shared" si="13"/>
        <v>PEPE1994_Diciembre</v>
      </c>
      <c r="G891" s="1" t="s">
        <v>1487</v>
      </c>
      <c r="H891" s="3">
        <v>1.5002777777777778</v>
      </c>
      <c r="I891" s="3">
        <v>-78.965277777777786</v>
      </c>
      <c r="J891" s="12">
        <v>27</v>
      </c>
      <c r="K891" s="12">
        <v>27.8</v>
      </c>
      <c r="L891" s="4">
        <v>257.99793601651186</v>
      </c>
      <c r="M891" s="5">
        <v>83</v>
      </c>
      <c r="N891" s="5">
        <v>15</v>
      </c>
      <c r="O891" s="5">
        <v>37.950000000000003</v>
      </c>
      <c r="P891" s="5">
        <v>6.6000000000000005</v>
      </c>
    </row>
    <row r="892" spans="1:16">
      <c r="A892" s="1" t="s">
        <v>905</v>
      </c>
      <c r="B892" s="1" t="s">
        <v>825</v>
      </c>
      <c r="C892" s="1">
        <v>1994</v>
      </c>
      <c r="D892" s="1" t="s">
        <v>1711</v>
      </c>
      <c r="E892" s="17">
        <v>34687</v>
      </c>
      <c r="F892" s="18" t="str">
        <f t="shared" si="13"/>
        <v>PEPE1994_Diciembre</v>
      </c>
      <c r="G892" s="1" t="s">
        <v>1488</v>
      </c>
      <c r="H892" s="3">
        <v>1.5138888888888888</v>
      </c>
      <c r="I892" s="3">
        <v>-79.046666666666667</v>
      </c>
      <c r="J892" s="12">
        <v>30</v>
      </c>
      <c r="K892" s="12">
        <v>28.3</v>
      </c>
      <c r="L892" s="4">
        <v>72.886297376093296</v>
      </c>
      <c r="M892" s="5">
        <v>622</v>
      </c>
      <c r="N892" s="5">
        <v>1059</v>
      </c>
      <c r="O892" s="5">
        <v>54.6</v>
      </c>
      <c r="P892" s="5">
        <v>262.08</v>
      </c>
    </row>
    <row r="893" spans="1:16">
      <c r="A893" s="1" t="s">
        <v>906</v>
      </c>
      <c r="B893" s="1" t="s">
        <v>825</v>
      </c>
      <c r="C893" s="1">
        <v>1994</v>
      </c>
      <c r="D893" s="1" t="s">
        <v>1711</v>
      </c>
      <c r="E893" s="17">
        <v>34688</v>
      </c>
      <c r="F893" s="18" t="str">
        <f t="shared" si="13"/>
        <v>PEPE1994_Diciembre</v>
      </c>
      <c r="G893" s="1" t="s">
        <v>1636</v>
      </c>
      <c r="H893" s="3">
        <v>2.9627777777777782</v>
      </c>
      <c r="I893" s="3">
        <v>-78.174722222222229</v>
      </c>
      <c r="J893" s="12">
        <v>31</v>
      </c>
      <c r="K893" s="12">
        <v>27.5</v>
      </c>
      <c r="L893" s="4">
        <v>124.92192379762648</v>
      </c>
      <c r="M893" s="5">
        <v>3843</v>
      </c>
      <c r="N893" s="5">
        <v>868</v>
      </c>
      <c r="O893" s="5">
        <v>0</v>
      </c>
      <c r="P893" s="5">
        <v>112.55999999999999</v>
      </c>
    </row>
    <row r="894" spans="1:16">
      <c r="A894" s="1" t="s">
        <v>907</v>
      </c>
      <c r="B894" s="1" t="s">
        <v>825</v>
      </c>
      <c r="C894" s="1">
        <v>1994</v>
      </c>
      <c r="D894" s="1" t="s">
        <v>1711</v>
      </c>
      <c r="E894" s="17">
        <v>34688</v>
      </c>
      <c r="F894" s="18" t="str">
        <f t="shared" si="13"/>
        <v>PEPE1994_Diciembre</v>
      </c>
      <c r="G894" s="1" t="s">
        <v>1637</v>
      </c>
      <c r="H894" s="3">
        <v>2.9858333333333333</v>
      </c>
      <c r="I894" s="3">
        <v>-78.175833333333344</v>
      </c>
      <c r="J894" s="12">
        <v>31</v>
      </c>
      <c r="K894" s="12">
        <v>27.7</v>
      </c>
      <c r="L894" s="4">
        <v>182.31540565177755</v>
      </c>
      <c r="M894" s="5">
        <v>369</v>
      </c>
      <c r="N894" s="5">
        <v>1152</v>
      </c>
      <c r="O894" s="5">
        <v>0</v>
      </c>
      <c r="P894" s="5">
        <v>46.07</v>
      </c>
    </row>
    <row r="895" spans="1:16">
      <c r="A895" s="1" t="s">
        <v>908</v>
      </c>
      <c r="B895" s="1" t="s">
        <v>825</v>
      </c>
      <c r="C895" s="1">
        <v>1994</v>
      </c>
      <c r="D895" s="1" t="s">
        <v>1711</v>
      </c>
      <c r="E895" s="17">
        <v>34688</v>
      </c>
      <c r="F895" s="18" t="str">
        <f t="shared" si="13"/>
        <v>PEPE1994_Diciembre</v>
      </c>
      <c r="G895" s="1" t="s">
        <v>1610</v>
      </c>
      <c r="H895" s="3">
        <v>2.9680555555555559</v>
      </c>
      <c r="I895" s="3">
        <v>-78.174722222222229</v>
      </c>
      <c r="J895" s="12">
        <v>30</v>
      </c>
      <c r="K895" s="12">
        <v>27.5</v>
      </c>
      <c r="L895" s="4">
        <v>0.60698027314112291</v>
      </c>
      <c r="M895" s="5">
        <v>90</v>
      </c>
      <c r="N895" s="5">
        <v>271</v>
      </c>
      <c r="O895" s="5">
        <v>0</v>
      </c>
      <c r="P895" s="5">
        <v>0</v>
      </c>
    </row>
    <row r="896" spans="1:16">
      <c r="A896" s="1" t="s">
        <v>909</v>
      </c>
      <c r="B896" s="1" t="s">
        <v>825</v>
      </c>
      <c r="C896" s="1">
        <v>1994</v>
      </c>
      <c r="D896" s="1" t="s">
        <v>1711</v>
      </c>
      <c r="E896" s="17">
        <v>34688</v>
      </c>
      <c r="F896" s="18" t="str">
        <f t="shared" si="13"/>
        <v>PEPE1994_Diciembre</v>
      </c>
      <c r="G896" s="1" t="s">
        <v>1611</v>
      </c>
      <c r="H896" s="3">
        <v>2.9875000000000003</v>
      </c>
      <c r="I896" s="3">
        <v>-78.166944444444454</v>
      </c>
      <c r="J896" s="12">
        <v>31</v>
      </c>
      <c r="K896" s="12">
        <v>27.7</v>
      </c>
      <c r="L896" s="4">
        <v>56.369785794813986</v>
      </c>
      <c r="M896" s="5">
        <v>532</v>
      </c>
      <c r="N896" s="5">
        <v>228</v>
      </c>
      <c r="O896" s="5">
        <v>0</v>
      </c>
      <c r="P896" s="5">
        <v>88.69</v>
      </c>
    </row>
    <row r="897" spans="1:16">
      <c r="A897" s="1" t="s">
        <v>910</v>
      </c>
      <c r="B897" s="1" t="s">
        <v>825</v>
      </c>
      <c r="C897" s="1">
        <v>1994</v>
      </c>
      <c r="D897" s="1" t="s">
        <v>1711</v>
      </c>
      <c r="E897" s="17">
        <v>34688</v>
      </c>
      <c r="F897" s="18" t="str">
        <f t="shared" si="13"/>
        <v>PEPE1994_Diciembre</v>
      </c>
      <c r="G897" s="1" t="s">
        <v>1633</v>
      </c>
      <c r="H897" s="3">
        <v>3.0038888888888891</v>
      </c>
      <c r="I897" s="3">
        <v>-78.184444444444452</v>
      </c>
      <c r="J897" s="12">
        <v>30</v>
      </c>
      <c r="K897" s="12">
        <v>27.8</v>
      </c>
      <c r="L897" s="4">
        <v>116.00928074245941</v>
      </c>
      <c r="M897" s="5">
        <v>105</v>
      </c>
      <c r="N897" s="5">
        <v>576</v>
      </c>
      <c r="O897" s="5">
        <v>0</v>
      </c>
      <c r="P897" s="5">
        <v>52.35</v>
      </c>
    </row>
    <row r="898" spans="1:16">
      <c r="A898" s="1" t="s">
        <v>911</v>
      </c>
      <c r="B898" s="1" t="s">
        <v>825</v>
      </c>
      <c r="C898" s="1">
        <v>1994</v>
      </c>
      <c r="D898" s="1" t="s">
        <v>1711</v>
      </c>
      <c r="E898" s="17">
        <v>34688</v>
      </c>
      <c r="F898" s="18" t="str">
        <f t="shared" si="13"/>
        <v>PEPE1994_Diciembre</v>
      </c>
      <c r="G898" s="1" t="s">
        <v>1634</v>
      </c>
      <c r="H898" s="3">
        <v>2.956666666666667</v>
      </c>
      <c r="I898" s="3">
        <v>-78.217222222222219</v>
      </c>
      <c r="J898" s="12">
        <v>30</v>
      </c>
      <c r="K898" s="12">
        <v>27.9</v>
      </c>
      <c r="L898" s="4">
        <v>26.624068157614481</v>
      </c>
      <c r="M898" s="5">
        <v>24</v>
      </c>
      <c r="N898" s="5">
        <v>81</v>
      </c>
      <c r="O898" s="5">
        <v>0</v>
      </c>
      <c r="P898" s="5">
        <v>24.36</v>
      </c>
    </row>
    <row r="899" spans="1:16">
      <c r="A899" s="1" t="s">
        <v>912</v>
      </c>
      <c r="B899" s="1" t="s">
        <v>825</v>
      </c>
      <c r="C899" s="1">
        <v>1994</v>
      </c>
      <c r="D899" s="1" t="s">
        <v>1711</v>
      </c>
      <c r="E899" s="17">
        <v>34688</v>
      </c>
      <c r="F899" s="18" t="str">
        <f t="shared" ref="F899:F962" si="14">"PEPE"&amp;C899&amp;"_"&amp;D899</f>
        <v>PEPE1994_Diciembre</v>
      </c>
      <c r="G899" s="1" t="s">
        <v>1614</v>
      </c>
      <c r="H899" s="3">
        <v>2.9316666666666666</v>
      </c>
      <c r="I899" s="3">
        <v>-78.215000000000003</v>
      </c>
      <c r="J899" s="12">
        <v>30</v>
      </c>
      <c r="K899" s="12">
        <v>27.6</v>
      </c>
      <c r="L899" s="4">
        <v>36.764705882352942</v>
      </c>
      <c r="M899" s="5">
        <v>116</v>
      </c>
      <c r="N899" s="5">
        <v>185</v>
      </c>
      <c r="O899" s="5">
        <v>11.58</v>
      </c>
      <c r="P899" s="5">
        <v>11.58</v>
      </c>
    </row>
    <row r="900" spans="1:16">
      <c r="A900" s="1" t="s">
        <v>913</v>
      </c>
      <c r="B900" s="1" t="s">
        <v>914</v>
      </c>
      <c r="C900" s="1">
        <v>1995</v>
      </c>
      <c r="D900" s="1" t="s">
        <v>1716</v>
      </c>
      <c r="E900" s="17">
        <v>34877</v>
      </c>
      <c r="F900" s="18" t="str">
        <f t="shared" si="14"/>
        <v>PEPE1995_Junio</v>
      </c>
      <c r="G900" s="1" t="s">
        <v>1638</v>
      </c>
      <c r="H900" s="3">
        <v>5.5194444444444448</v>
      </c>
      <c r="I900" s="3">
        <v>-77.586388888888891</v>
      </c>
      <c r="J900" s="12">
        <v>25</v>
      </c>
      <c r="K900" s="12">
        <v>27.8</v>
      </c>
      <c r="L900" s="4">
        <v>135.18</v>
      </c>
      <c r="M900" s="5">
        <v>143</v>
      </c>
      <c r="N900" s="5">
        <v>1083</v>
      </c>
      <c r="O900" s="5">
        <v>0</v>
      </c>
      <c r="P900" s="5">
        <v>86</v>
      </c>
    </row>
    <row r="901" spans="1:16">
      <c r="A901" s="1" t="s">
        <v>915</v>
      </c>
      <c r="B901" s="1" t="s">
        <v>914</v>
      </c>
      <c r="C901" s="1">
        <v>1995</v>
      </c>
      <c r="D901" s="1" t="s">
        <v>1716</v>
      </c>
      <c r="E901" s="17">
        <v>34877</v>
      </c>
      <c r="F901" s="18" t="str">
        <f t="shared" si="14"/>
        <v>PEPE1995_Junio</v>
      </c>
      <c r="G901" s="1" t="s">
        <v>1363</v>
      </c>
      <c r="H901" s="3">
        <v>5.5013888888888891</v>
      </c>
      <c r="I901" s="3">
        <v>-77.87444444444445</v>
      </c>
      <c r="J901" s="12">
        <v>30</v>
      </c>
      <c r="K901" s="12">
        <v>27.7</v>
      </c>
      <c r="L901" s="4">
        <v>107.3</v>
      </c>
      <c r="M901" s="5">
        <v>203</v>
      </c>
      <c r="N901" s="5">
        <v>470</v>
      </c>
      <c r="O901" s="5">
        <v>0</v>
      </c>
      <c r="P901" s="5">
        <v>0</v>
      </c>
    </row>
    <row r="902" spans="1:16">
      <c r="A902" s="1" t="s">
        <v>916</v>
      </c>
      <c r="B902" s="1" t="s">
        <v>914</v>
      </c>
      <c r="C902" s="1">
        <v>1995</v>
      </c>
      <c r="D902" s="1" t="s">
        <v>1716</v>
      </c>
      <c r="E902" s="17">
        <v>34877</v>
      </c>
      <c r="F902" s="18" t="str">
        <f t="shared" si="14"/>
        <v>PEPE1995_Junio</v>
      </c>
      <c r="G902" s="1" t="s">
        <v>1639</v>
      </c>
      <c r="H902" s="3">
        <v>5.333333333333333</v>
      </c>
      <c r="I902" s="3">
        <v>-77.503055555555562</v>
      </c>
      <c r="J902" s="12">
        <v>25</v>
      </c>
      <c r="K902" s="12">
        <v>28.2</v>
      </c>
      <c r="L902" s="4">
        <v>164.42</v>
      </c>
      <c r="M902" s="5">
        <v>740</v>
      </c>
      <c r="N902" s="5">
        <v>1480</v>
      </c>
      <c r="O902" s="5">
        <v>0</v>
      </c>
      <c r="P902" s="5">
        <v>243</v>
      </c>
    </row>
    <row r="903" spans="1:16">
      <c r="A903" s="1" t="s">
        <v>917</v>
      </c>
      <c r="B903" s="1" t="s">
        <v>914</v>
      </c>
      <c r="C903" s="1">
        <v>1995</v>
      </c>
      <c r="D903" s="1" t="s">
        <v>1716</v>
      </c>
      <c r="E903" s="17">
        <v>34878</v>
      </c>
      <c r="F903" s="18" t="str">
        <f t="shared" si="14"/>
        <v>PEPE1995_Junio</v>
      </c>
      <c r="G903" s="1" t="s">
        <v>1367</v>
      </c>
      <c r="H903" s="3">
        <v>5.3361111111111112</v>
      </c>
      <c r="I903" s="3">
        <v>-77.722222222222229</v>
      </c>
      <c r="J903" s="12">
        <v>30</v>
      </c>
      <c r="K903" s="12">
        <v>27.9</v>
      </c>
      <c r="L903" s="4">
        <v>170.7</v>
      </c>
      <c r="M903" s="5">
        <v>1613</v>
      </c>
      <c r="N903" s="5">
        <v>1075</v>
      </c>
      <c r="O903" s="5">
        <v>0</v>
      </c>
      <c r="P903" s="5">
        <v>11</v>
      </c>
    </row>
    <row r="904" spans="1:16">
      <c r="A904" s="1" t="s">
        <v>918</v>
      </c>
      <c r="B904" s="1" t="s">
        <v>914</v>
      </c>
      <c r="C904" s="1">
        <v>1995</v>
      </c>
      <c r="D904" s="1" t="s">
        <v>1716</v>
      </c>
      <c r="E904" s="17">
        <v>34878</v>
      </c>
      <c r="F904" s="18" t="str">
        <f t="shared" si="14"/>
        <v>PEPE1995_Junio</v>
      </c>
      <c r="G904" s="1" t="s">
        <v>1379</v>
      </c>
      <c r="H904" s="3">
        <v>5.168333333333333</v>
      </c>
      <c r="I904" s="3">
        <v>-77.476944444444442</v>
      </c>
      <c r="J904" s="12">
        <v>25</v>
      </c>
      <c r="K904" s="12">
        <v>28</v>
      </c>
      <c r="L904" s="4">
        <v>164.47</v>
      </c>
      <c r="M904" s="5">
        <v>353</v>
      </c>
      <c r="N904" s="5">
        <v>762</v>
      </c>
      <c r="O904" s="5">
        <v>0</v>
      </c>
      <c r="P904" s="5">
        <v>70</v>
      </c>
    </row>
    <row r="905" spans="1:16">
      <c r="A905" s="1" t="s">
        <v>919</v>
      </c>
      <c r="B905" s="1" t="s">
        <v>914</v>
      </c>
      <c r="C905" s="1">
        <v>1995</v>
      </c>
      <c r="D905" s="1" t="s">
        <v>1716</v>
      </c>
      <c r="E905" s="17">
        <v>34878</v>
      </c>
      <c r="F905" s="18" t="str">
        <f t="shared" si="14"/>
        <v>PEPE1995_Junio</v>
      </c>
      <c r="G905" s="1" t="s">
        <v>1381</v>
      </c>
      <c r="H905" s="3">
        <v>5.1905555555555551</v>
      </c>
      <c r="I905" s="3">
        <v>-77.737222222222229</v>
      </c>
      <c r="J905" s="12">
        <v>28</v>
      </c>
      <c r="K905" s="12">
        <v>27.7</v>
      </c>
      <c r="L905" s="4">
        <v>127.32</v>
      </c>
      <c r="M905" s="5">
        <v>1038</v>
      </c>
      <c r="N905" s="5">
        <v>2024</v>
      </c>
      <c r="O905" s="5">
        <v>0</v>
      </c>
      <c r="P905" s="5">
        <v>0</v>
      </c>
    </row>
    <row r="906" spans="1:16">
      <c r="A906" s="1" t="s">
        <v>920</v>
      </c>
      <c r="B906" s="1" t="s">
        <v>914</v>
      </c>
      <c r="C906" s="1">
        <v>1995</v>
      </c>
      <c r="D906" s="1" t="s">
        <v>1716</v>
      </c>
      <c r="E906" s="17">
        <v>34878</v>
      </c>
      <c r="F906" s="18" t="str">
        <f t="shared" si="14"/>
        <v>PEPE1995_Junio</v>
      </c>
      <c r="G906" s="1" t="s">
        <v>1640</v>
      </c>
      <c r="H906" s="3">
        <v>5.0025000000000004</v>
      </c>
      <c r="I906" s="3">
        <v>-77.467222222222219</v>
      </c>
      <c r="J906" s="12">
        <v>23</v>
      </c>
      <c r="K906" s="12">
        <v>28</v>
      </c>
      <c r="L906" s="4">
        <v>85.06</v>
      </c>
      <c r="M906" s="5">
        <v>1983</v>
      </c>
      <c r="N906" s="5">
        <v>700</v>
      </c>
      <c r="O906" s="5">
        <v>0</v>
      </c>
      <c r="P906" s="5">
        <v>253</v>
      </c>
    </row>
    <row r="907" spans="1:16">
      <c r="A907" s="1" t="s">
        <v>921</v>
      </c>
      <c r="B907" s="1" t="s">
        <v>914</v>
      </c>
      <c r="C907" s="1">
        <v>1995</v>
      </c>
      <c r="D907" s="1" t="s">
        <v>1716</v>
      </c>
      <c r="E907" s="17">
        <v>34878</v>
      </c>
      <c r="F907" s="18" t="str">
        <f t="shared" si="14"/>
        <v>PEPE1995_Junio</v>
      </c>
      <c r="G907" s="1" t="s">
        <v>1386</v>
      </c>
      <c r="H907" s="3">
        <v>5.0091666666666663</v>
      </c>
      <c r="I907" s="3">
        <v>-77.710833333333326</v>
      </c>
      <c r="J907" s="12">
        <v>25</v>
      </c>
      <c r="K907" s="12">
        <v>27.9</v>
      </c>
      <c r="L907" s="4">
        <v>119.55</v>
      </c>
      <c r="M907" s="5">
        <v>422</v>
      </c>
      <c r="N907" s="5">
        <v>2171</v>
      </c>
      <c r="O907" s="5">
        <v>0</v>
      </c>
      <c r="P907" s="5">
        <v>141</v>
      </c>
    </row>
    <row r="908" spans="1:16">
      <c r="A908" s="1" t="s">
        <v>922</v>
      </c>
      <c r="B908" s="1" t="s">
        <v>914</v>
      </c>
      <c r="C908" s="1">
        <v>1995</v>
      </c>
      <c r="D908" s="1" t="s">
        <v>1716</v>
      </c>
      <c r="E908" s="17">
        <v>34878</v>
      </c>
      <c r="F908" s="18" t="str">
        <f t="shared" si="14"/>
        <v>PEPE1995_Junio</v>
      </c>
      <c r="G908" s="1" t="s">
        <v>1641</v>
      </c>
      <c r="H908" s="3">
        <v>4.8433333333333337</v>
      </c>
      <c r="I908" s="3">
        <v>-77.460833333333326</v>
      </c>
      <c r="J908" s="12">
        <v>24</v>
      </c>
      <c r="K908" s="12">
        <v>27.8</v>
      </c>
      <c r="L908" s="4">
        <v>169.23</v>
      </c>
      <c r="M908" s="5">
        <v>726</v>
      </c>
      <c r="N908" s="5">
        <v>3553</v>
      </c>
      <c r="O908" s="5">
        <v>0</v>
      </c>
      <c r="P908" s="5">
        <v>1376</v>
      </c>
    </row>
    <row r="909" spans="1:16">
      <c r="A909" s="1" t="s">
        <v>923</v>
      </c>
      <c r="B909" s="1" t="s">
        <v>914</v>
      </c>
      <c r="C909" s="1">
        <v>1995</v>
      </c>
      <c r="D909" s="1" t="s">
        <v>1716</v>
      </c>
      <c r="E909" s="17">
        <v>34878</v>
      </c>
      <c r="F909" s="18" t="str">
        <f t="shared" si="14"/>
        <v>PEPE1995_Junio</v>
      </c>
      <c r="G909" s="1" t="s">
        <v>1546</v>
      </c>
      <c r="H909" s="3">
        <v>4.8347222222222221</v>
      </c>
      <c r="I909" s="3">
        <v>-77.684444444444438</v>
      </c>
      <c r="J909" s="12">
        <v>25</v>
      </c>
      <c r="K909" s="12">
        <v>28.2</v>
      </c>
      <c r="L909" s="4">
        <v>138</v>
      </c>
      <c r="M909" s="5">
        <v>1557</v>
      </c>
      <c r="N909" s="5">
        <v>1965</v>
      </c>
      <c r="O909" s="5">
        <v>0</v>
      </c>
      <c r="P909" s="5">
        <v>75</v>
      </c>
    </row>
    <row r="910" spans="1:16">
      <c r="A910" s="1" t="s">
        <v>924</v>
      </c>
      <c r="B910" s="1" t="s">
        <v>914</v>
      </c>
      <c r="C910" s="1">
        <v>1995</v>
      </c>
      <c r="D910" s="1" t="s">
        <v>1716</v>
      </c>
      <c r="E910" s="17">
        <v>34878</v>
      </c>
      <c r="F910" s="18" t="str">
        <f t="shared" si="14"/>
        <v>PEPE1995_Junio</v>
      </c>
      <c r="G910" s="1" t="s">
        <v>1642</v>
      </c>
      <c r="H910" s="3">
        <v>4.666666666666667</v>
      </c>
      <c r="I910" s="3">
        <v>-77.416666666666671</v>
      </c>
      <c r="J910" s="12">
        <v>25</v>
      </c>
      <c r="K910" s="12">
        <v>27.8</v>
      </c>
      <c r="L910" s="4">
        <v>263.64999999999998</v>
      </c>
      <c r="M910" s="5">
        <v>1525</v>
      </c>
      <c r="N910" s="5">
        <v>2838</v>
      </c>
      <c r="O910" s="5">
        <v>0</v>
      </c>
      <c r="P910" s="5">
        <v>988</v>
      </c>
    </row>
    <row r="911" spans="1:16">
      <c r="A911" s="1" t="s">
        <v>925</v>
      </c>
      <c r="B911" s="1" t="s">
        <v>914</v>
      </c>
      <c r="C911" s="1">
        <v>1995</v>
      </c>
      <c r="D911" s="1" t="s">
        <v>1716</v>
      </c>
      <c r="E911" s="17">
        <v>34879</v>
      </c>
      <c r="F911" s="18" t="str">
        <f t="shared" si="14"/>
        <v>PEPE1995_Junio</v>
      </c>
      <c r="G911" s="1" t="s">
        <v>1396</v>
      </c>
      <c r="H911" s="3">
        <v>4.7</v>
      </c>
      <c r="I911" s="3">
        <v>-77.63388888888889</v>
      </c>
      <c r="J911" s="12">
        <v>26</v>
      </c>
      <c r="K911" s="12">
        <v>27.6</v>
      </c>
      <c r="L911" s="4">
        <v>126.24031105612644</v>
      </c>
      <c r="M911" s="5">
        <v>423</v>
      </c>
      <c r="N911" s="5">
        <v>3312</v>
      </c>
      <c r="O911" s="5">
        <v>0</v>
      </c>
      <c r="P911" s="5">
        <v>174</v>
      </c>
    </row>
    <row r="912" spans="1:16">
      <c r="A912" s="1" t="s">
        <v>926</v>
      </c>
      <c r="B912" s="1" t="s">
        <v>914</v>
      </c>
      <c r="C912" s="1">
        <v>1995</v>
      </c>
      <c r="D912" s="1" t="s">
        <v>1716</v>
      </c>
      <c r="E912" s="17">
        <v>34879</v>
      </c>
      <c r="F912" s="18" t="str">
        <f t="shared" si="14"/>
        <v>PEPE1995_Junio</v>
      </c>
      <c r="G912" s="1" t="s">
        <v>1643</v>
      </c>
      <c r="H912" s="3">
        <v>4.5036111111111108</v>
      </c>
      <c r="I912" s="3">
        <v>-77.450555555555553</v>
      </c>
      <c r="J912" s="12">
        <v>25</v>
      </c>
      <c r="K912" s="12">
        <v>27</v>
      </c>
      <c r="L912" s="4">
        <v>194.1</v>
      </c>
      <c r="M912" s="5">
        <v>5774</v>
      </c>
      <c r="N912" s="5">
        <v>686</v>
      </c>
      <c r="O912" s="5">
        <v>0</v>
      </c>
      <c r="P912" s="5">
        <v>115</v>
      </c>
    </row>
    <row r="913" spans="1:16">
      <c r="A913" s="1" t="s">
        <v>927</v>
      </c>
      <c r="B913" s="1" t="s">
        <v>914</v>
      </c>
      <c r="C913" s="1">
        <v>1995</v>
      </c>
      <c r="D913" s="1" t="s">
        <v>1716</v>
      </c>
      <c r="E913" s="17">
        <v>34879</v>
      </c>
      <c r="F913" s="18" t="str">
        <f t="shared" si="14"/>
        <v>PEPE1995_Junio</v>
      </c>
      <c r="G913" s="1" t="s">
        <v>1401</v>
      </c>
      <c r="H913" s="3">
        <v>4.5</v>
      </c>
      <c r="I913" s="3">
        <v>-77.666666666666671</v>
      </c>
      <c r="J913" s="12">
        <v>25</v>
      </c>
      <c r="K913" s="12">
        <v>27.6</v>
      </c>
      <c r="L913" s="4">
        <v>112.47</v>
      </c>
      <c r="M913" s="5">
        <v>234</v>
      </c>
      <c r="N913" s="5">
        <v>3365</v>
      </c>
      <c r="O913" s="5">
        <v>0</v>
      </c>
      <c r="P913" s="5">
        <v>50</v>
      </c>
    </row>
    <row r="914" spans="1:16">
      <c r="A914" s="1" t="s">
        <v>928</v>
      </c>
      <c r="B914" s="1" t="s">
        <v>914</v>
      </c>
      <c r="C914" s="1">
        <v>1995</v>
      </c>
      <c r="D914" s="1" t="s">
        <v>1716</v>
      </c>
      <c r="E914" s="17">
        <v>34879</v>
      </c>
      <c r="F914" s="18" t="str">
        <f t="shared" si="14"/>
        <v>PEPE1995_Junio</v>
      </c>
      <c r="G914" s="1" t="s">
        <v>1550</v>
      </c>
      <c r="H914" s="3">
        <v>4.3372222222222225</v>
      </c>
      <c r="I914" s="3">
        <v>-77.525833333333338</v>
      </c>
      <c r="J914" s="12">
        <v>30</v>
      </c>
      <c r="K914" s="12">
        <v>28.2</v>
      </c>
      <c r="L914" s="4">
        <v>76.69</v>
      </c>
      <c r="M914" s="5">
        <v>423</v>
      </c>
      <c r="N914" s="5">
        <v>931</v>
      </c>
      <c r="O914" s="5">
        <v>0</v>
      </c>
      <c r="P914" s="5">
        <v>112</v>
      </c>
    </row>
    <row r="915" spans="1:16">
      <c r="A915" s="1" t="s">
        <v>929</v>
      </c>
      <c r="B915" s="1" t="s">
        <v>914</v>
      </c>
      <c r="C915" s="1">
        <v>1995</v>
      </c>
      <c r="D915" s="1" t="s">
        <v>1716</v>
      </c>
      <c r="E915" s="17">
        <v>34879</v>
      </c>
      <c r="F915" s="18" t="str">
        <f t="shared" si="14"/>
        <v>PEPE1995_Junio</v>
      </c>
      <c r="G915" s="1" t="s">
        <v>1406</v>
      </c>
      <c r="H915" s="3">
        <v>4.333333333333333</v>
      </c>
      <c r="I915" s="3">
        <v>-77.777222222222221</v>
      </c>
      <c r="J915" s="12">
        <v>35</v>
      </c>
      <c r="K915" s="12">
        <v>28</v>
      </c>
      <c r="L915" s="4">
        <v>147.32</v>
      </c>
      <c r="M915" s="5">
        <v>469</v>
      </c>
      <c r="N915" s="5">
        <v>2226</v>
      </c>
      <c r="O915" s="5">
        <v>0</v>
      </c>
      <c r="P915" s="5">
        <v>0</v>
      </c>
    </row>
    <row r="916" spans="1:16">
      <c r="A916" s="1" t="s">
        <v>930</v>
      </c>
      <c r="B916" s="1" t="s">
        <v>914</v>
      </c>
      <c r="C916" s="1">
        <v>1995</v>
      </c>
      <c r="D916" s="1" t="s">
        <v>1716</v>
      </c>
      <c r="E916" s="17">
        <v>34879</v>
      </c>
      <c r="F916" s="18" t="str">
        <f t="shared" si="14"/>
        <v>PEPE1995_Junio</v>
      </c>
      <c r="G916" s="1" t="s">
        <v>1644</v>
      </c>
      <c r="H916" s="3">
        <v>4.1772222222222224</v>
      </c>
      <c r="I916" s="3">
        <v>-77.584999999999994</v>
      </c>
      <c r="J916" s="12">
        <v>21</v>
      </c>
      <c r="K916" s="12">
        <v>27.9</v>
      </c>
      <c r="L916" s="4">
        <v>214.18</v>
      </c>
      <c r="M916" s="5">
        <v>203</v>
      </c>
      <c r="N916" s="5">
        <v>963</v>
      </c>
      <c r="O916" s="5">
        <v>0</v>
      </c>
      <c r="P916" s="5">
        <v>160</v>
      </c>
    </row>
    <row r="917" spans="1:16">
      <c r="A917" s="1" t="s">
        <v>931</v>
      </c>
      <c r="B917" s="1" t="s">
        <v>914</v>
      </c>
      <c r="C917" s="1">
        <v>1995</v>
      </c>
      <c r="D917" s="1" t="s">
        <v>1716</v>
      </c>
      <c r="E917" s="17">
        <v>34879</v>
      </c>
      <c r="F917" s="18" t="str">
        <f t="shared" si="14"/>
        <v>PEPE1995_Junio</v>
      </c>
      <c r="G917" s="1" t="s">
        <v>1411</v>
      </c>
      <c r="H917" s="3">
        <v>4.1749999999999998</v>
      </c>
      <c r="I917" s="3">
        <v>-77.851944444444442</v>
      </c>
      <c r="J917" s="12">
        <v>30</v>
      </c>
      <c r="K917" s="12">
        <v>27.7</v>
      </c>
      <c r="L917" s="4">
        <v>164.98</v>
      </c>
      <c r="M917" s="5">
        <v>881</v>
      </c>
      <c r="N917" s="5">
        <v>5851</v>
      </c>
      <c r="O917" s="5">
        <v>0</v>
      </c>
      <c r="P917" s="5">
        <v>0</v>
      </c>
    </row>
    <row r="918" spans="1:16">
      <c r="A918" s="1" t="s">
        <v>932</v>
      </c>
      <c r="B918" s="1" t="s">
        <v>914</v>
      </c>
      <c r="C918" s="1">
        <v>1995</v>
      </c>
      <c r="D918" s="1" t="s">
        <v>1716</v>
      </c>
      <c r="E918" s="17">
        <v>34880</v>
      </c>
      <c r="F918" s="18" t="str">
        <f t="shared" si="14"/>
        <v>PEPE1995_Junio</v>
      </c>
      <c r="G918" s="1" t="s">
        <v>1415</v>
      </c>
      <c r="H918" s="3">
        <v>4</v>
      </c>
      <c r="I918" s="3">
        <v>-77.844166666666666</v>
      </c>
      <c r="J918" s="12">
        <v>30</v>
      </c>
      <c r="K918" s="12">
        <v>27.8</v>
      </c>
      <c r="L918" s="4">
        <v>167.84781797836627</v>
      </c>
      <c r="M918" s="5">
        <v>668</v>
      </c>
      <c r="N918" s="5">
        <v>2226</v>
      </c>
      <c r="O918" s="5">
        <v>0</v>
      </c>
      <c r="P918" s="5">
        <v>0</v>
      </c>
    </row>
    <row r="919" spans="1:16">
      <c r="A919" s="1" t="s">
        <v>933</v>
      </c>
      <c r="B919" s="1" t="s">
        <v>914</v>
      </c>
      <c r="C919" s="1">
        <v>1995</v>
      </c>
      <c r="D919" s="1" t="s">
        <v>1716</v>
      </c>
      <c r="E919" s="17">
        <v>34880</v>
      </c>
      <c r="F919" s="18" t="str">
        <f t="shared" si="14"/>
        <v>PEPE1995_Junio</v>
      </c>
      <c r="G919" s="1" t="s">
        <v>1515</v>
      </c>
      <c r="H919" s="3">
        <v>4.0002777777777778</v>
      </c>
      <c r="I919" s="3">
        <v>-77.921111111111117</v>
      </c>
      <c r="J919" s="12">
        <v>30</v>
      </c>
      <c r="K919" s="12">
        <v>27</v>
      </c>
      <c r="L919" s="4">
        <v>210.70375052675936</v>
      </c>
      <c r="M919" s="5">
        <v>1256</v>
      </c>
      <c r="N919" s="5">
        <v>1985</v>
      </c>
      <c r="O919" s="5">
        <v>0</v>
      </c>
      <c r="P919" s="5">
        <v>27</v>
      </c>
    </row>
    <row r="920" spans="1:16">
      <c r="A920" s="1" t="s">
        <v>934</v>
      </c>
      <c r="B920" s="1" t="s">
        <v>914</v>
      </c>
      <c r="C920" s="1">
        <v>1995</v>
      </c>
      <c r="D920" s="1" t="s">
        <v>1716</v>
      </c>
      <c r="E920" s="17">
        <v>34880</v>
      </c>
      <c r="F920" s="18" t="str">
        <f t="shared" si="14"/>
        <v>PEPE1995_Junio</v>
      </c>
      <c r="G920" s="1" t="s">
        <v>1645</v>
      </c>
      <c r="H920" s="3">
        <v>3.8333333333333335</v>
      </c>
      <c r="I920" s="3">
        <v>-77.384722222222223</v>
      </c>
      <c r="J920" s="12">
        <v>25</v>
      </c>
      <c r="K920" s="12">
        <v>29</v>
      </c>
      <c r="L920" s="4">
        <v>7.688167909587146</v>
      </c>
      <c r="M920" s="5">
        <v>10</v>
      </c>
      <c r="N920" s="5">
        <v>10</v>
      </c>
      <c r="O920" s="5">
        <v>0</v>
      </c>
      <c r="P920" s="5">
        <v>1</v>
      </c>
    </row>
    <row r="921" spans="1:16">
      <c r="A921" s="1" t="s">
        <v>935</v>
      </c>
      <c r="B921" s="1" t="s">
        <v>914</v>
      </c>
      <c r="C921" s="1">
        <v>1995</v>
      </c>
      <c r="D921" s="1" t="s">
        <v>1716</v>
      </c>
      <c r="E921" s="17">
        <v>34880</v>
      </c>
      <c r="F921" s="18" t="str">
        <f t="shared" si="14"/>
        <v>PEPE1995_Junio</v>
      </c>
      <c r="G921" s="1" t="s">
        <v>1420</v>
      </c>
      <c r="H921" s="3">
        <v>3.8338888888888887</v>
      </c>
      <c r="I921" s="3">
        <v>-77.600833333333327</v>
      </c>
      <c r="J921" s="12">
        <v>27</v>
      </c>
      <c r="K921" s="12">
        <v>29.1</v>
      </c>
      <c r="L921" s="4">
        <v>321.75032175032175</v>
      </c>
      <c r="M921" s="5">
        <v>107</v>
      </c>
      <c r="N921" s="5">
        <v>1273</v>
      </c>
      <c r="O921" s="5">
        <v>0</v>
      </c>
      <c r="P921" s="5">
        <v>6</v>
      </c>
    </row>
    <row r="922" spans="1:16">
      <c r="A922" s="1" t="s">
        <v>936</v>
      </c>
      <c r="B922" s="1" t="s">
        <v>914</v>
      </c>
      <c r="C922" s="1">
        <v>1995</v>
      </c>
      <c r="D922" s="1" t="s">
        <v>1716</v>
      </c>
      <c r="E922" s="17">
        <v>34880</v>
      </c>
      <c r="F922" s="18" t="str">
        <f t="shared" si="14"/>
        <v>PEPE1995_Junio</v>
      </c>
      <c r="G922" s="1" t="s">
        <v>1421</v>
      </c>
      <c r="H922" s="3">
        <v>3.8436111111111111</v>
      </c>
      <c r="I922" s="3">
        <v>-77.935000000000002</v>
      </c>
      <c r="J922" s="12">
        <v>33</v>
      </c>
      <c r="K922" s="12">
        <v>27.2</v>
      </c>
      <c r="L922" s="4">
        <v>1491.4077108004631</v>
      </c>
      <c r="M922" s="5">
        <v>2101</v>
      </c>
      <c r="N922" s="5">
        <v>1169</v>
      </c>
      <c r="O922" s="5">
        <v>0</v>
      </c>
      <c r="P922" s="5">
        <v>0</v>
      </c>
    </row>
    <row r="923" spans="1:16" s="19" customFormat="1">
      <c r="A923" s="19" t="s">
        <v>937</v>
      </c>
      <c r="B923" s="19" t="s">
        <v>914</v>
      </c>
      <c r="C923" s="19">
        <v>1995</v>
      </c>
      <c r="D923" s="19" t="s">
        <v>1716</v>
      </c>
      <c r="E923" s="18">
        <v>34880</v>
      </c>
      <c r="F923" s="18" t="str">
        <f t="shared" si="14"/>
        <v>PEPE1995_Junio</v>
      </c>
      <c r="G923" s="19" t="s">
        <v>1646</v>
      </c>
      <c r="H923" s="3">
        <v>3.8333333333333335</v>
      </c>
      <c r="I923" s="21">
        <v>-78.110833333333332</v>
      </c>
      <c r="J923" s="22">
        <v>33</v>
      </c>
      <c r="K923" s="22">
        <v>26.9</v>
      </c>
      <c r="L923" s="23">
        <v>205.79211254957721</v>
      </c>
      <c r="M923" s="24">
        <v>921</v>
      </c>
      <c r="N923" s="24">
        <v>1721</v>
      </c>
      <c r="O923" s="24">
        <v>0</v>
      </c>
      <c r="P923" s="24">
        <v>0</v>
      </c>
    </row>
    <row r="924" spans="1:16">
      <c r="A924" s="1" t="s">
        <v>938</v>
      </c>
      <c r="B924" s="1" t="s">
        <v>914</v>
      </c>
      <c r="C924" s="1">
        <v>1995</v>
      </c>
      <c r="D924" s="1" t="s">
        <v>1716</v>
      </c>
      <c r="E924" s="17">
        <v>34880</v>
      </c>
      <c r="F924" s="18" t="str">
        <f t="shared" si="14"/>
        <v>PEPE1995_Junio</v>
      </c>
      <c r="G924" s="1" t="s">
        <v>1424</v>
      </c>
      <c r="H924" s="3">
        <v>3.6672222222222222</v>
      </c>
      <c r="I924" s="3">
        <v>-77.343611111111116</v>
      </c>
      <c r="J924" s="12">
        <v>25</v>
      </c>
      <c r="K924" s="12">
        <v>29.2</v>
      </c>
      <c r="L924" s="4">
        <v>175.36620590055705</v>
      </c>
      <c r="M924" s="5">
        <v>346</v>
      </c>
      <c r="N924" s="5">
        <v>124</v>
      </c>
      <c r="O924" s="5">
        <v>0</v>
      </c>
      <c r="P924" s="5">
        <v>28</v>
      </c>
    </row>
    <row r="925" spans="1:16">
      <c r="A925" s="1" t="s">
        <v>939</v>
      </c>
      <c r="B925" s="1" t="s">
        <v>914</v>
      </c>
      <c r="C925" s="1">
        <v>1995</v>
      </c>
      <c r="D925" s="1" t="s">
        <v>1716</v>
      </c>
      <c r="E925" s="17">
        <v>34880</v>
      </c>
      <c r="F925" s="18" t="str">
        <f t="shared" si="14"/>
        <v>PEPE1995_Junio</v>
      </c>
      <c r="G925" s="1" t="s">
        <v>1425</v>
      </c>
      <c r="H925" s="3">
        <v>3.6675</v>
      </c>
      <c r="I925" s="3">
        <v>-77.49388888888889</v>
      </c>
      <c r="J925" s="12">
        <v>27</v>
      </c>
      <c r="K925" s="12">
        <v>28.6</v>
      </c>
      <c r="L925" s="4">
        <v>303.49013657056145</v>
      </c>
      <c r="M925" s="5">
        <v>26</v>
      </c>
      <c r="N925" s="5">
        <v>759</v>
      </c>
      <c r="O925" s="5">
        <v>0</v>
      </c>
      <c r="P925" s="5">
        <v>40</v>
      </c>
    </row>
    <row r="926" spans="1:16">
      <c r="A926" s="1" t="s">
        <v>940</v>
      </c>
      <c r="B926" s="1" t="s">
        <v>914</v>
      </c>
      <c r="C926" s="1">
        <v>1995</v>
      </c>
      <c r="D926" s="1" t="s">
        <v>1716</v>
      </c>
      <c r="E926" s="17">
        <v>34880</v>
      </c>
      <c r="F926" s="18" t="str">
        <f t="shared" si="14"/>
        <v>PEPE1995_Junio</v>
      </c>
      <c r="G926" s="1" t="s">
        <v>1426</v>
      </c>
      <c r="H926" s="3">
        <v>3.6733333333333333</v>
      </c>
      <c r="I926" s="3">
        <v>-77.833333333333329</v>
      </c>
      <c r="J926" s="12">
        <v>32</v>
      </c>
      <c r="K926" s="12">
        <v>27.4</v>
      </c>
      <c r="L926" s="4">
        <v>161.16035455278003</v>
      </c>
      <c r="M926" s="5">
        <v>1366</v>
      </c>
      <c r="N926" s="5">
        <v>3064</v>
      </c>
      <c r="O926" s="5">
        <v>0</v>
      </c>
      <c r="P926" s="5">
        <v>0</v>
      </c>
    </row>
    <row r="927" spans="1:16" s="19" customFormat="1">
      <c r="A927" s="19" t="s">
        <v>941</v>
      </c>
      <c r="B927" s="19" t="s">
        <v>914</v>
      </c>
      <c r="C927" s="19">
        <v>1995</v>
      </c>
      <c r="D927" s="19" t="s">
        <v>1715</v>
      </c>
      <c r="E927" s="18">
        <v>34881</v>
      </c>
      <c r="F927" s="18" t="str">
        <f t="shared" si="14"/>
        <v>PEPE1995_Julio</v>
      </c>
      <c r="G927" s="19" t="s">
        <v>1647</v>
      </c>
      <c r="H927" s="21">
        <v>3.6766666666666667</v>
      </c>
      <c r="I927" s="21">
        <v>-78.00555555555556</v>
      </c>
      <c r="J927" s="22">
        <v>33</v>
      </c>
      <c r="K927" s="22">
        <v>27.2</v>
      </c>
      <c r="L927" s="23">
        <v>283.94198846758695</v>
      </c>
      <c r="M927" s="24">
        <v>2168</v>
      </c>
      <c r="N927" s="24">
        <v>3586</v>
      </c>
      <c r="O927" s="24">
        <v>0</v>
      </c>
      <c r="P927" s="24">
        <v>0</v>
      </c>
    </row>
    <row r="928" spans="1:16">
      <c r="A928" s="1" t="s">
        <v>942</v>
      </c>
      <c r="B928" s="1" t="s">
        <v>914</v>
      </c>
      <c r="C928" s="1">
        <v>1995</v>
      </c>
      <c r="D928" s="1" t="s">
        <v>1715</v>
      </c>
      <c r="E928" s="17">
        <v>34881</v>
      </c>
      <c r="F928" s="18" t="str">
        <f t="shared" si="14"/>
        <v>PEPE1995_Julio</v>
      </c>
      <c r="G928" s="1" t="s">
        <v>1648</v>
      </c>
      <c r="H928" s="3">
        <v>3.5002777777777778</v>
      </c>
      <c r="I928" s="3">
        <v>-77.452222222222218</v>
      </c>
      <c r="J928" s="12">
        <v>15</v>
      </c>
      <c r="K928" s="12">
        <v>31.6</v>
      </c>
      <c r="L928" s="4">
        <v>259.94801039792043</v>
      </c>
      <c r="M928" s="5">
        <v>299</v>
      </c>
      <c r="N928" s="5">
        <v>392</v>
      </c>
      <c r="O928" s="5">
        <v>0</v>
      </c>
      <c r="P928" s="5">
        <v>88</v>
      </c>
    </row>
    <row r="929" spans="1:16">
      <c r="A929" s="1" t="s">
        <v>943</v>
      </c>
      <c r="B929" s="1" t="s">
        <v>914</v>
      </c>
      <c r="C929" s="1">
        <v>1995</v>
      </c>
      <c r="D929" s="1" t="s">
        <v>1715</v>
      </c>
      <c r="E929" s="17">
        <v>34881</v>
      </c>
      <c r="F929" s="18" t="str">
        <f t="shared" si="14"/>
        <v>PEPE1995_Julio</v>
      </c>
      <c r="G929" s="1" t="s">
        <v>1430</v>
      </c>
      <c r="H929" s="3">
        <v>3.5</v>
      </c>
      <c r="I929" s="3">
        <v>-77.666666666666671</v>
      </c>
      <c r="J929" s="12">
        <v>29</v>
      </c>
      <c r="K929" s="12">
        <v>28.2</v>
      </c>
      <c r="L929" s="4">
        <v>170.01983564749222</v>
      </c>
      <c r="M929" s="5">
        <v>252</v>
      </c>
      <c r="N929" s="5">
        <v>720</v>
      </c>
      <c r="O929" s="5">
        <v>0</v>
      </c>
      <c r="P929" s="5">
        <v>0</v>
      </c>
    </row>
    <row r="930" spans="1:16">
      <c r="A930" s="1" t="s">
        <v>944</v>
      </c>
      <c r="B930" s="1" t="s">
        <v>914</v>
      </c>
      <c r="C930" s="1">
        <v>1995</v>
      </c>
      <c r="D930" s="1" t="s">
        <v>1715</v>
      </c>
      <c r="E930" s="17">
        <v>34881</v>
      </c>
      <c r="F930" s="18" t="str">
        <f t="shared" si="14"/>
        <v>PEPE1995_Julio</v>
      </c>
      <c r="G930" s="1" t="s">
        <v>1431</v>
      </c>
      <c r="H930" s="3">
        <v>3.5094444444444446</v>
      </c>
      <c r="I930" s="3">
        <v>-78.008611111111108</v>
      </c>
      <c r="J930" s="12">
        <v>27</v>
      </c>
      <c r="K930" s="12">
        <v>27</v>
      </c>
      <c r="L930" s="4">
        <v>123.8927089140804</v>
      </c>
      <c r="M930" s="5">
        <v>3452</v>
      </c>
      <c r="N930" s="5">
        <v>845</v>
      </c>
      <c r="O930" s="5">
        <v>0</v>
      </c>
      <c r="P930" s="5">
        <v>0</v>
      </c>
    </row>
    <row r="931" spans="1:16" s="19" customFormat="1">
      <c r="A931" s="19" t="s">
        <v>945</v>
      </c>
      <c r="B931" s="19" t="s">
        <v>914</v>
      </c>
      <c r="C931" s="19">
        <v>1995</v>
      </c>
      <c r="D931" s="19" t="s">
        <v>1715</v>
      </c>
      <c r="E931" s="18">
        <v>34881</v>
      </c>
      <c r="F931" s="18" t="str">
        <f t="shared" si="14"/>
        <v>PEPE1995_Julio</v>
      </c>
      <c r="G931" s="19" t="s">
        <v>1649</v>
      </c>
      <c r="H931" s="21">
        <v>3.5</v>
      </c>
      <c r="I931" s="21">
        <v>-78.166666666666671</v>
      </c>
      <c r="J931" s="22">
        <v>33</v>
      </c>
      <c r="K931" s="22">
        <v>27.4</v>
      </c>
      <c r="L931" s="23">
        <v>116.34445715615364</v>
      </c>
      <c r="M931" s="24">
        <v>832</v>
      </c>
      <c r="N931" s="24">
        <v>1193</v>
      </c>
      <c r="O931" s="24">
        <v>0</v>
      </c>
      <c r="P931" s="24">
        <v>0</v>
      </c>
    </row>
    <row r="932" spans="1:16">
      <c r="A932" s="1" t="s">
        <v>946</v>
      </c>
      <c r="B932" s="1" t="s">
        <v>914</v>
      </c>
      <c r="C932" s="1">
        <v>1995</v>
      </c>
      <c r="D932" s="1" t="s">
        <v>1715</v>
      </c>
      <c r="E932" s="17">
        <v>34881</v>
      </c>
      <c r="F932" s="18" t="str">
        <f t="shared" si="14"/>
        <v>PEPE1995_Julio</v>
      </c>
      <c r="G932" s="1" t="s">
        <v>1650</v>
      </c>
      <c r="H932" s="3">
        <v>3.3338888888888887</v>
      </c>
      <c r="I932" s="3">
        <v>-77.61055555555555</v>
      </c>
      <c r="J932" s="12">
        <v>20</v>
      </c>
      <c r="K932" s="12">
        <v>27</v>
      </c>
      <c r="L932" s="4">
        <v>341.58838599487621</v>
      </c>
      <c r="M932" s="5">
        <v>99</v>
      </c>
      <c r="N932" s="5">
        <v>577</v>
      </c>
      <c r="O932" s="5">
        <v>0</v>
      </c>
      <c r="P932" s="5">
        <v>12</v>
      </c>
    </row>
    <row r="933" spans="1:16">
      <c r="A933" s="1" t="s">
        <v>947</v>
      </c>
      <c r="B933" s="1" t="s">
        <v>914</v>
      </c>
      <c r="C933" s="1">
        <v>1995</v>
      </c>
      <c r="D933" s="1" t="s">
        <v>1715</v>
      </c>
      <c r="E933" s="17">
        <v>34881</v>
      </c>
      <c r="F933" s="18" t="str">
        <f t="shared" si="14"/>
        <v>PEPE1995_Julio</v>
      </c>
      <c r="G933" s="1" t="s">
        <v>1435</v>
      </c>
      <c r="H933" s="3">
        <v>3.3333333333333335</v>
      </c>
      <c r="I933" s="3">
        <v>-77.80972222222222</v>
      </c>
      <c r="J933" s="12">
        <v>20</v>
      </c>
      <c r="K933" s="12">
        <v>28.7</v>
      </c>
      <c r="L933" s="4">
        <v>176.71517671517671</v>
      </c>
      <c r="M933" s="5">
        <v>211</v>
      </c>
      <c r="N933" s="5">
        <v>1278</v>
      </c>
      <c r="O933" s="5">
        <v>0</v>
      </c>
      <c r="P933" s="5">
        <v>27</v>
      </c>
    </row>
    <row r="934" spans="1:16">
      <c r="A934" s="1" t="s">
        <v>948</v>
      </c>
      <c r="B934" s="1" t="s">
        <v>914</v>
      </c>
      <c r="C934" s="1">
        <v>1995</v>
      </c>
      <c r="D934" s="1" t="s">
        <v>1715</v>
      </c>
      <c r="E934" s="17">
        <v>34881</v>
      </c>
      <c r="F934" s="18" t="str">
        <f t="shared" si="14"/>
        <v>PEPE1995_Julio</v>
      </c>
      <c r="G934" s="1" t="s">
        <v>1436</v>
      </c>
      <c r="H934" s="3">
        <v>3.3436111111111111</v>
      </c>
      <c r="I934" s="3">
        <v>-78.13388888888889</v>
      </c>
      <c r="J934" s="12">
        <v>27</v>
      </c>
      <c r="K934" s="12">
        <v>27.7</v>
      </c>
      <c r="L934" s="4">
        <v>143.36506480100928</v>
      </c>
      <c r="M934" s="5">
        <v>592</v>
      </c>
      <c r="N934" s="5">
        <v>833</v>
      </c>
      <c r="O934" s="5">
        <v>0</v>
      </c>
      <c r="P934" s="5">
        <v>19</v>
      </c>
    </row>
    <row r="935" spans="1:16" s="19" customFormat="1">
      <c r="A935" s="19" t="s">
        <v>949</v>
      </c>
      <c r="B935" s="19" t="s">
        <v>914</v>
      </c>
      <c r="C935" s="19">
        <v>1995</v>
      </c>
      <c r="D935" s="19" t="s">
        <v>1715</v>
      </c>
      <c r="E935" s="18">
        <v>34881</v>
      </c>
      <c r="F935" s="18" t="str">
        <f t="shared" si="14"/>
        <v>PEPE1995_Julio</v>
      </c>
      <c r="G935" s="19" t="s">
        <v>1651</v>
      </c>
      <c r="H935" s="21">
        <v>3.3333333333333335</v>
      </c>
      <c r="I935" s="21">
        <v>-78.308888888888887</v>
      </c>
      <c r="J935" s="22">
        <v>30</v>
      </c>
      <c r="K935" s="22">
        <v>27.2</v>
      </c>
      <c r="L935" s="23">
        <v>257.58590489928389</v>
      </c>
      <c r="M935" s="24">
        <v>5912</v>
      </c>
      <c r="N935" s="24">
        <v>2213</v>
      </c>
      <c r="O935" s="24">
        <v>0</v>
      </c>
      <c r="P935" s="24">
        <v>89</v>
      </c>
    </row>
    <row r="936" spans="1:16">
      <c r="A936" s="1" t="s">
        <v>950</v>
      </c>
      <c r="B936" s="1" t="s">
        <v>914</v>
      </c>
      <c r="C936" s="1">
        <v>1995</v>
      </c>
      <c r="D936" s="1" t="s">
        <v>1715</v>
      </c>
      <c r="E936" s="17">
        <v>34882</v>
      </c>
      <c r="F936" s="18" t="str">
        <f t="shared" si="14"/>
        <v>PEPE1995_Julio</v>
      </c>
      <c r="G936" s="1" t="s">
        <v>1652</v>
      </c>
      <c r="H936" s="3">
        <v>3.1666666666666665</v>
      </c>
      <c r="I936" s="3">
        <v>-77.721944444444446</v>
      </c>
      <c r="J936" s="12">
        <v>28</v>
      </c>
      <c r="K936" s="12">
        <v>27</v>
      </c>
      <c r="L936" s="4">
        <v>274.8763056624519</v>
      </c>
      <c r="M936" s="5">
        <v>161</v>
      </c>
      <c r="N936" s="5">
        <v>867</v>
      </c>
      <c r="O936" s="5">
        <v>0</v>
      </c>
      <c r="P936" s="5">
        <v>63</v>
      </c>
    </row>
    <row r="937" spans="1:16">
      <c r="A937" s="1" t="s">
        <v>951</v>
      </c>
      <c r="B937" s="1" t="s">
        <v>914</v>
      </c>
      <c r="C937" s="1">
        <v>1995</v>
      </c>
      <c r="D937" s="1" t="s">
        <v>1715</v>
      </c>
      <c r="E937" s="17">
        <v>34882</v>
      </c>
      <c r="F937" s="18" t="str">
        <f t="shared" si="14"/>
        <v>PEPE1995_Julio</v>
      </c>
      <c r="G937" s="1" t="s">
        <v>1440</v>
      </c>
      <c r="H937" s="3">
        <v>3.1669444444444443</v>
      </c>
      <c r="I937" s="3">
        <v>-77.900555555555556</v>
      </c>
      <c r="J937" s="12">
        <v>31</v>
      </c>
      <c r="K937" s="12">
        <v>27</v>
      </c>
      <c r="L937" s="4">
        <v>193.39865910263021</v>
      </c>
      <c r="M937" s="5">
        <v>29</v>
      </c>
      <c r="N937" s="5">
        <v>752</v>
      </c>
      <c r="O937" s="5">
        <v>0</v>
      </c>
      <c r="P937" s="5">
        <v>80</v>
      </c>
    </row>
    <row r="938" spans="1:16">
      <c r="A938" s="1" t="s">
        <v>952</v>
      </c>
      <c r="B938" s="1" t="s">
        <v>914</v>
      </c>
      <c r="C938" s="1">
        <v>1995</v>
      </c>
      <c r="D938" s="1" t="s">
        <v>1715</v>
      </c>
      <c r="E938" s="17">
        <v>34882</v>
      </c>
      <c r="F938" s="18" t="str">
        <f t="shared" si="14"/>
        <v>PEPE1995_Julio</v>
      </c>
      <c r="G938" s="1" t="s">
        <v>1441</v>
      </c>
      <c r="H938" s="3">
        <v>3.1775000000000002</v>
      </c>
      <c r="I938" s="3">
        <v>-78.233888888888885</v>
      </c>
      <c r="J938" s="12">
        <v>34</v>
      </c>
      <c r="K938" s="12">
        <v>27.74</v>
      </c>
      <c r="L938" s="4">
        <v>148.44724185024643</v>
      </c>
      <c r="M938" s="5">
        <v>672</v>
      </c>
      <c r="N938" s="5">
        <v>1871</v>
      </c>
      <c r="O938" s="5">
        <v>0</v>
      </c>
      <c r="P938" s="5">
        <v>41</v>
      </c>
    </row>
    <row r="939" spans="1:16" s="19" customFormat="1">
      <c r="A939" s="19" t="s">
        <v>953</v>
      </c>
      <c r="B939" s="19" t="s">
        <v>914</v>
      </c>
      <c r="C939" s="19">
        <v>1995</v>
      </c>
      <c r="D939" s="19" t="s">
        <v>1715</v>
      </c>
      <c r="E939" s="18">
        <v>34882</v>
      </c>
      <c r="F939" s="18" t="str">
        <f t="shared" si="14"/>
        <v>PEPE1995_Julio</v>
      </c>
      <c r="G939" s="19" t="s">
        <v>1653</v>
      </c>
      <c r="H939" s="21">
        <v>3.1708333333333334</v>
      </c>
      <c r="I939" s="21">
        <v>-78.409166666666664</v>
      </c>
      <c r="J939" s="22">
        <v>31</v>
      </c>
      <c r="K939" s="22">
        <v>26</v>
      </c>
      <c r="L939" s="23">
        <v>186.29779702855012</v>
      </c>
      <c r="M939" s="24">
        <v>1960</v>
      </c>
      <c r="N939" s="24">
        <v>1449</v>
      </c>
      <c r="O939" s="24">
        <v>0</v>
      </c>
      <c r="P939" s="24">
        <v>0</v>
      </c>
    </row>
    <row r="940" spans="1:16">
      <c r="A940" s="1" t="s">
        <v>954</v>
      </c>
      <c r="B940" s="1" t="s">
        <v>914</v>
      </c>
      <c r="C940" s="1">
        <v>1995</v>
      </c>
      <c r="D940" s="1" t="s">
        <v>1715</v>
      </c>
      <c r="E940" s="17">
        <v>34882</v>
      </c>
      <c r="F940" s="18" t="str">
        <f t="shared" si="14"/>
        <v>PEPE1995_Julio</v>
      </c>
      <c r="G940" s="1" t="s">
        <v>1654</v>
      </c>
      <c r="H940" s="3">
        <v>3.0055555555555555</v>
      </c>
      <c r="I940" s="3">
        <v>-77.807222222222222</v>
      </c>
      <c r="J940" s="12">
        <v>27</v>
      </c>
      <c r="K940" s="12">
        <v>27.19</v>
      </c>
      <c r="L940" s="4">
        <v>345.12510785159617</v>
      </c>
      <c r="M940" s="5">
        <v>286</v>
      </c>
      <c r="N940" s="5">
        <v>2097</v>
      </c>
      <c r="O940" s="5">
        <v>0</v>
      </c>
      <c r="P940" s="5">
        <v>404</v>
      </c>
    </row>
    <row r="941" spans="1:16">
      <c r="A941" s="1" t="s">
        <v>955</v>
      </c>
      <c r="B941" s="1" t="s">
        <v>914</v>
      </c>
      <c r="C941" s="1">
        <v>1995</v>
      </c>
      <c r="D941" s="1" t="s">
        <v>1715</v>
      </c>
      <c r="E941" s="17">
        <v>34882</v>
      </c>
      <c r="F941" s="18" t="str">
        <f t="shared" si="14"/>
        <v>PEPE1995_Julio</v>
      </c>
      <c r="G941" s="1" t="s">
        <v>1445</v>
      </c>
      <c r="H941" s="3">
        <v>3.0108333333333333</v>
      </c>
      <c r="I941" s="3">
        <v>-78.016666666666666</v>
      </c>
      <c r="J941" s="12">
        <v>32</v>
      </c>
      <c r="K941" s="12">
        <v>27.59</v>
      </c>
      <c r="L941" s="4">
        <v>1322.4714346170124</v>
      </c>
      <c r="M941" s="5">
        <v>8</v>
      </c>
      <c r="N941" s="5">
        <v>519</v>
      </c>
      <c r="O941" s="5">
        <v>0</v>
      </c>
      <c r="P941" s="5">
        <v>12</v>
      </c>
    </row>
    <row r="942" spans="1:16">
      <c r="A942" s="1" t="s">
        <v>956</v>
      </c>
      <c r="B942" s="1" t="s">
        <v>914</v>
      </c>
      <c r="C942" s="1">
        <v>1995</v>
      </c>
      <c r="D942" s="1" t="s">
        <v>1715</v>
      </c>
      <c r="E942" s="17">
        <v>34882</v>
      </c>
      <c r="F942" s="18" t="str">
        <f t="shared" si="14"/>
        <v>PEPE1995_Julio</v>
      </c>
      <c r="G942" s="1" t="s">
        <v>1446</v>
      </c>
      <c r="H942" s="3">
        <v>3.0108333333333333</v>
      </c>
      <c r="I942" s="3">
        <v>-78.356388888888887</v>
      </c>
      <c r="J942" s="12">
        <v>30</v>
      </c>
      <c r="K942" s="12">
        <v>27.88</v>
      </c>
      <c r="L942" s="4">
        <v>93.765906716317957</v>
      </c>
      <c r="M942" s="5">
        <v>235</v>
      </c>
      <c r="N942" s="5">
        <v>1711</v>
      </c>
      <c r="O942" s="5">
        <v>0</v>
      </c>
      <c r="P942" s="5">
        <v>41</v>
      </c>
    </row>
    <row r="943" spans="1:16" s="19" customFormat="1">
      <c r="A943" s="19" t="s">
        <v>957</v>
      </c>
      <c r="B943" s="19" t="s">
        <v>914</v>
      </c>
      <c r="C943" s="19">
        <v>1995</v>
      </c>
      <c r="D943" s="19" t="s">
        <v>1715</v>
      </c>
      <c r="E943" s="18">
        <v>34882</v>
      </c>
      <c r="F943" s="18" t="str">
        <f t="shared" si="14"/>
        <v>PEPE1995_Julio</v>
      </c>
      <c r="G943" s="19" t="s">
        <v>1655</v>
      </c>
      <c r="H943" s="21">
        <v>3.01</v>
      </c>
      <c r="I943" s="21">
        <v>-78.693333333333328</v>
      </c>
      <c r="J943" s="22">
        <v>32</v>
      </c>
      <c r="K943" s="22">
        <v>27.79</v>
      </c>
      <c r="L943" s="23">
        <v>115.93082793932955</v>
      </c>
      <c r="M943" s="24">
        <v>2610</v>
      </c>
      <c r="N943" s="24">
        <v>1435</v>
      </c>
      <c r="O943" s="24">
        <v>0</v>
      </c>
      <c r="P943" s="24">
        <v>0</v>
      </c>
    </row>
    <row r="944" spans="1:16" s="19" customFormat="1">
      <c r="A944" s="19" t="s">
        <v>958</v>
      </c>
      <c r="B944" s="19" t="s">
        <v>914</v>
      </c>
      <c r="C944" s="19">
        <v>1995</v>
      </c>
      <c r="D944" s="19" t="s">
        <v>1715</v>
      </c>
      <c r="E944" s="18">
        <v>34882</v>
      </c>
      <c r="F944" s="18" t="str">
        <f t="shared" si="14"/>
        <v>PEPE1995_Julio</v>
      </c>
      <c r="G944" s="19" t="s">
        <v>1656</v>
      </c>
      <c r="H944" s="21">
        <v>3.0105555555555554</v>
      </c>
      <c r="I944" s="21">
        <v>-78.850555555555559</v>
      </c>
      <c r="J944" s="22">
        <v>31.5</v>
      </c>
      <c r="K944" s="22">
        <v>28</v>
      </c>
      <c r="L944" s="23">
        <v>113.38725527250737</v>
      </c>
      <c r="M944" s="24">
        <v>3850</v>
      </c>
      <c r="N944" s="24">
        <v>1075</v>
      </c>
      <c r="O944" s="24">
        <v>0</v>
      </c>
      <c r="P944" s="24">
        <v>0</v>
      </c>
    </row>
    <row r="945" spans="1:16">
      <c r="A945" s="1" t="s">
        <v>959</v>
      </c>
      <c r="B945" s="1" t="s">
        <v>914</v>
      </c>
      <c r="C945" s="1">
        <v>1995</v>
      </c>
      <c r="D945" s="1" t="s">
        <v>1715</v>
      </c>
      <c r="E945" s="17">
        <v>34883</v>
      </c>
      <c r="F945" s="18" t="str">
        <f t="shared" si="14"/>
        <v>PEPE1995_Julio</v>
      </c>
      <c r="G945" s="1" t="s">
        <v>1657</v>
      </c>
      <c r="H945" s="3">
        <v>2.8338888888888887</v>
      </c>
      <c r="I945" s="3">
        <v>-78.192222222222227</v>
      </c>
      <c r="J945" s="12">
        <v>30</v>
      </c>
      <c r="K945" s="12">
        <v>27.5</v>
      </c>
      <c r="L945" s="4">
        <v>329.54961552544859</v>
      </c>
      <c r="M945" s="5">
        <v>95</v>
      </c>
      <c r="N945" s="5">
        <v>648</v>
      </c>
      <c r="O945" s="5">
        <v>0</v>
      </c>
      <c r="P945" s="5">
        <v>41</v>
      </c>
    </row>
    <row r="946" spans="1:16">
      <c r="A946" s="1" t="s">
        <v>960</v>
      </c>
      <c r="B946" s="1" t="s">
        <v>914</v>
      </c>
      <c r="C946" s="1">
        <v>1995</v>
      </c>
      <c r="D946" s="1" t="s">
        <v>1715</v>
      </c>
      <c r="E946" s="17">
        <v>34883</v>
      </c>
      <c r="F946" s="18" t="str">
        <f t="shared" si="14"/>
        <v>PEPE1995_Julio</v>
      </c>
      <c r="G946" s="1" t="s">
        <v>1658</v>
      </c>
      <c r="H946" s="3">
        <v>2.8344444444444443</v>
      </c>
      <c r="I946" s="3">
        <v>-78.3</v>
      </c>
      <c r="J946" s="12">
        <v>30</v>
      </c>
      <c r="K946" s="12">
        <v>28</v>
      </c>
      <c r="L946" s="4">
        <v>231.77412557943532</v>
      </c>
      <c r="M946" s="5">
        <v>372</v>
      </c>
      <c r="N946" s="5">
        <v>529</v>
      </c>
      <c r="O946" s="5">
        <v>0</v>
      </c>
      <c r="P946" s="5">
        <v>0</v>
      </c>
    </row>
    <row r="947" spans="1:16" s="19" customFormat="1">
      <c r="A947" s="19" t="s">
        <v>961</v>
      </c>
      <c r="B947" s="19" t="s">
        <v>914</v>
      </c>
      <c r="C947" s="19">
        <v>1995</v>
      </c>
      <c r="D947" s="19" t="s">
        <v>1715</v>
      </c>
      <c r="E947" s="18">
        <v>34883</v>
      </c>
      <c r="F947" s="18" t="str">
        <f t="shared" si="14"/>
        <v>PEPE1995_Julio</v>
      </c>
      <c r="G947" s="19" t="s">
        <v>1659</v>
      </c>
      <c r="H947" s="21">
        <v>2.8441666666666667</v>
      </c>
      <c r="I947" s="21">
        <v>-78.635000000000005</v>
      </c>
      <c r="J947" s="22">
        <v>32</v>
      </c>
      <c r="K947" s="22">
        <v>27.5</v>
      </c>
      <c r="L947" s="23">
        <v>77.593063180151702</v>
      </c>
      <c r="M947" s="24">
        <v>2959</v>
      </c>
      <c r="N947" s="24">
        <v>382</v>
      </c>
      <c r="O947" s="24">
        <v>0</v>
      </c>
      <c r="P947" s="24">
        <v>7</v>
      </c>
    </row>
    <row r="948" spans="1:16" s="19" customFormat="1">
      <c r="A948" s="19" t="s">
        <v>962</v>
      </c>
      <c r="B948" s="19" t="s">
        <v>914</v>
      </c>
      <c r="C948" s="19">
        <v>1995</v>
      </c>
      <c r="D948" s="19" t="s">
        <v>1715</v>
      </c>
      <c r="E948" s="18">
        <v>34883</v>
      </c>
      <c r="F948" s="18" t="str">
        <f t="shared" si="14"/>
        <v>PEPE1995_Julio</v>
      </c>
      <c r="G948" s="19" t="s">
        <v>1660</v>
      </c>
      <c r="H948" s="21">
        <v>2.8333333333333335</v>
      </c>
      <c r="I948" s="21">
        <v>-78.967222222222219</v>
      </c>
      <c r="J948" s="22">
        <v>32</v>
      </c>
      <c r="K948" s="22">
        <v>28</v>
      </c>
      <c r="L948" s="23">
        <v>73.416048748256358</v>
      </c>
      <c r="M948" s="24">
        <v>1980</v>
      </c>
      <c r="N948" s="24">
        <v>407</v>
      </c>
      <c r="O948" s="24">
        <v>0</v>
      </c>
      <c r="P948" s="24">
        <v>0</v>
      </c>
    </row>
    <row r="949" spans="1:16" s="19" customFormat="1">
      <c r="A949" s="19" t="s">
        <v>963</v>
      </c>
      <c r="B949" s="19" t="s">
        <v>914</v>
      </c>
      <c r="C949" s="19">
        <v>1995</v>
      </c>
      <c r="D949" s="19" t="s">
        <v>1715</v>
      </c>
      <c r="E949" s="18">
        <v>34883</v>
      </c>
      <c r="F949" s="18" t="str">
        <f t="shared" si="14"/>
        <v>PEPE1995_Julio</v>
      </c>
      <c r="G949" s="19" t="s">
        <v>1661</v>
      </c>
      <c r="H949" s="21">
        <v>2.8336111111111113</v>
      </c>
      <c r="I949" s="21">
        <v>-79.143888888888895</v>
      </c>
      <c r="J949" s="22">
        <v>28</v>
      </c>
      <c r="K949" s="22">
        <v>27.5</v>
      </c>
      <c r="L949" s="23">
        <v>119.77243237848089</v>
      </c>
      <c r="M949" s="24">
        <v>3337</v>
      </c>
      <c r="N949" s="24">
        <v>1361</v>
      </c>
      <c r="O949" s="24">
        <v>0</v>
      </c>
      <c r="P949" s="24">
        <v>0</v>
      </c>
    </row>
    <row r="950" spans="1:16">
      <c r="A950" s="1" t="s">
        <v>964</v>
      </c>
      <c r="B950" s="1" t="s">
        <v>914</v>
      </c>
      <c r="C950" s="1">
        <v>1995</v>
      </c>
      <c r="D950" s="1" t="s">
        <v>1715</v>
      </c>
      <c r="E950" s="17">
        <v>34884</v>
      </c>
      <c r="F950" s="18" t="str">
        <f t="shared" si="14"/>
        <v>PEPE1995_Julio</v>
      </c>
      <c r="G950" s="1" t="s">
        <v>1662</v>
      </c>
      <c r="H950" s="3">
        <v>2.7197222222222219</v>
      </c>
      <c r="I950" s="3">
        <v>-78.440555555555562</v>
      </c>
      <c r="J950" s="12">
        <v>27</v>
      </c>
      <c r="K950" s="12">
        <v>27</v>
      </c>
      <c r="L950" s="4">
        <v>194.73081328751434</v>
      </c>
      <c r="M950" s="5">
        <v>1815</v>
      </c>
      <c r="N950" s="5">
        <v>629</v>
      </c>
      <c r="O950" s="5">
        <v>0</v>
      </c>
      <c r="P950" s="5">
        <v>73</v>
      </c>
    </row>
    <row r="951" spans="1:16">
      <c r="A951" s="1" t="s">
        <v>965</v>
      </c>
      <c r="B951" s="1" t="s">
        <v>914</v>
      </c>
      <c r="C951" s="1">
        <v>1995</v>
      </c>
      <c r="D951" s="1" t="s">
        <v>1715</v>
      </c>
      <c r="E951" s="17">
        <v>34884</v>
      </c>
      <c r="F951" s="18" t="str">
        <f t="shared" si="14"/>
        <v>PEPE1995_Julio</v>
      </c>
      <c r="G951" s="1" t="s">
        <v>1454</v>
      </c>
      <c r="H951" s="3">
        <v>2.6672222222222222</v>
      </c>
      <c r="I951" s="3">
        <v>-78.642777777777781</v>
      </c>
      <c r="J951" s="12">
        <v>33</v>
      </c>
      <c r="K951" s="12">
        <v>27.8</v>
      </c>
      <c r="L951" s="4">
        <v>397.82116408592941</v>
      </c>
      <c r="M951" s="5">
        <v>217</v>
      </c>
      <c r="N951" s="5">
        <v>1125</v>
      </c>
      <c r="O951" s="5">
        <v>0</v>
      </c>
      <c r="P951" s="5">
        <v>71</v>
      </c>
    </row>
    <row r="952" spans="1:16">
      <c r="A952" s="1" t="s">
        <v>966</v>
      </c>
      <c r="B952" s="1" t="s">
        <v>914</v>
      </c>
      <c r="C952" s="1">
        <v>1995</v>
      </c>
      <c r="D952" s="1" t="s">
        <v>1715</v>
      </c>
      <c r="E952" s="17">
        <v>34884</v>
      </c>
      <c r="F952" s="18" t="str">
        <f t="shared" si="14"/>
        <v>PEPE1995_Julio</v>
      </c>
      <c r="G952" s="1" t="s">
        <v>1455</v>
      </c>
      <c r="H952" s="3">
        <v>2.6666666666666665</v>
      </c>
      <c r="I952" s="3">
        <v>-78.976944444444442</v>
      </c>
      <c r="J952" s="12">
        <v>32</v>
      </c>
      <c r="K952" s="12">
        <v>27.5</v>
      </c>
      <c r="L952" s="4">
        <v>96.327865024227918</v>
      </c>
      <c r="M952" s="5">
        <v>1150</v>
      </c>
      <c r="N952" s="5">
        <v>1573</v>
      </c>
      <c r="O952" s="5">
        <v>0</v>
      </c>
      <c r="P952" s="5">
        <v>0</v>
      </c>
    </row>
    <row r="953" spans="1:16" s="19" customFormat="1">
      <c r="A953" s="19" t="s">
        <v>967</v>
      </c>
      <c r="B953" s="19" t="s">
        <v>914</v>
      </c>
      <c r="C953" s="19">
        <v>1995</v>
      </c>
      <c r="D953" s="19" t="s">
        <v>1715</v>
      </c>
      <c r="E953" s="18">
        <v>34884</v>
      </c>
      <c r="F953" s="18" t="str">
        <f t="shared" si="14"/>
        <v>PEPE1995_Julio</v>
      </c>
      <c r="G953" s="19" t="s">
        <v>1663</v>
      </c>
      <c r="H953" s="21">
        <v>2.6775000000000002</v>
      </c>
      <c r="I953" s="21">
        <v>-79.143888888888895</v>
      </c>
      <c r="J953" s="22">
        <v>33</v>
      </c>
      <c r="K953" s="22">
        <v>27.5</v>
      </c>
      <c r="L953" s="23">
        <v>113.20469925284898</v>
      </c>
      <c r="M953" s="24">
        <v>1005</v>
      </c>
      <c r="N953" s="24">
        <v>704</v>
      </c>
      <c r="O953" s="24">
        <v>0</v>
      </c>
      <c r="P953" s="24">
        <v>0</v>
      </c>
    </row>
    <row r="954" spans="1:16">
      <c r="A954" s="1" t="s">
        <v>968</v>
      </c>
      <c r="B954" s="1" t="s">
        <v>914</v>
      </c>
      <c r="C954" s="1">
        <v>1995</v>
      </c>
      <c r="D954" s="1" t="s">
        <v>1715</v>
      </c>
      <c r="E954" s="17">
        <v>34884</v>
      </c>
      <c r="F954" s="18" t="str">
        <f t="shared" si="14"/>
        <v>PEPE1995_Julio</v>
      </c>
      <c r="G954" s="1" t="s">
        <v>1457</v>
      </c>
      <c r="H954" s="3">
        <v>2.5</v>
      </c>
      <c r="I954" s="3">
        <v>-78.600555555555559</v>
      </c>
      <c r="J954" s="12">
        <v>31</v>
      </c>
      <c r="K954" s="12">
        <v>27.9</v>
      </c>
      <c r="L954" s="4">
        <v>250.46963055729495</v>
      </c>
      <c r="M954" s="5">
        <v>129</v>
      </c>
      <c r="N954" s="5">
        <v>464</v>
      </c>
      <c r="O954" s="5">
        <v>0</v>
      </c>
      <c r="P954" s="5">
        <v>118</v>
      </c>
    </row>
    <row r="955" spans="1:16">
      <c r="A955" s="1" t="s">
        <v>969</v>
      </c>
      <c r="B955" s="1" t="s">
        <v>914</v>
      </c>
      <c r="C955" s="1">
        <v>1995</v>
      </c>
      <c r="D955" s="1" t="s">
        <v>1715</v>
      </c>
      <c r="E955" s="17">
        <v>34884</v>
      </c>
      <c r="F955" s="18" t="str">
        <f t="shared" si="14"/>
        <v>PEPE1995_Julio</v>
      </c>
      <c r="G955" s="1" t="s">
        <v>1459</v>
      </c>
      <c r="H955" s="3">
        <v>2.5</v>
      </c>
      <c r="I955" s="3">
        <v>-78.849999999999994</v>
      </c>
      <c r="J955" s="12">
        <v>33</v>
      </c>
      <c r="K955" s="12">
        <v>27.5</v>
      </c>
      <c r="L955" s="4">
        <v>107.82252412528977</v>
      </c>
      <c r="M955" s="5">
        <v>905</v>
      </c>
      <c r="N955" s="5">
        <v>1045</v>
      </c>
      <c r="O955" s="5">
        <v>0</v>
      </c>
      <c r="P955" s="5">
        <v>7</v>
      </c>
    </row>
    <row r="956" spans="1:16">
      <c r="A956" s="1" t="s">
        <v>970</v>
      </c>
      <c r="B956" s="1" t="s">
        <v>914</v>
      </c>
      <c r="C956" s="1">
        <v>1995</v>
      </c>
      <c r="D956" s="1" t="s">
        <v>1715</v>
      </c>
      <c r="E956" s="17">
        <v>34884</v>
      </c>
      <c r="F956" s="18" t="str">
        <f t="shared" si="14"/>
        <v>PEPE1995_Julio</v>
      </c>
      <c r="G956" s="1" t="s">
        <v>1568</v>
      </c>
      <c r="H956" s="3">
        <v>2.5011111111111113</v>
      </c>
      <c r="I956" s="3">
        <v>-79.19361111111111</v>
      </c>
      <c r="J956" s="12">
        <v>33</v>
      </c>
      <c r="K956" s="12">
        <v>27</v>
      </c>
      <c r="L956" s="4">
        <v>111.97929627233364</v>
      </c>
      <c r="M956" s="5">
        <v>454</v>
      </c>
      <c r="N956" s="5">
        <v>413</v>
      </c>
      <c r="O956" s="5">
        <v>0</v>
      </c>
      <c r="P956" s="5">
        <v>0</v>
      </c>
    </row>
    <row r="957" spans="1:16">
      <c r="A957" s="1" t="s">
        <v>971</v>
      </c>
      <c r="B957" s="1" t="s">
        <v>914</v>
      </c>
      <c r="C957" s="1">
        <v>1995</v>
      </c>
      <c r="D957" s="1" t="s">
        <v>1715</v>
      </c>
      <c r="E957" s="17">
        <v>34884</v>
      </c>
      <c r="F957" s="18" t="str">
        <f t="shared" si="14"/>
        <v>PEPE1995_Julio</v>
      </c>
      <c r="G957" s="1" t="s">
        <v>1664</v>
      </c>
      <c r="H957" s="3">
        <v>2.3411111111111111</v>
      </c>
      <c r="I957" s="3">
        <v>-78.009166666666673</v>
      </c>
      <c r="J957" s="12">
        <v>31</v>
      </c>
      <c r="K957" s="12">
        <v>28</v>
      </c>
      <c r="L957" s="4">
        <v>252.20680958385879</v>
      </c>
      <c r="M957" s="5">
        <v>1124</v>
      </c>
      <c r="N957" s="5">
        <v>244</v>
      </c>
      <c r="O957" s="5">
        <v>0</v>
      </c>
      <c r="P957" s="5">
        <v>98</v>
      </c>
    </row>
    <row r="958" spans="1:16">
      <c r="A958" s="1" t="s">
        <v>972</v>
      </c>
      <c r="B958" s="1" t="s">
        <v>914</v>
      </c>
      <c r="C958" s="1">
        <v>1995</v>
      </c>
      <c r="D958" s="1" t="s">
        <v>1715</v>
      </c>
      <c r="E958" s="17">
        <v>34884</v>
      </c>
      <c r="F958" s="18" t="str">
        <f t="shared" si="14"/>
        <v>PEPE1995_Julio</v>
      </c>
      <c r="G958" s="1" t="s">
        <v>1464</v>
      </c>
      <c r="H958" s="3">
        <v>2.3336111111111109</v>
      </c>
      <c r="I958" s="3">
        <v>-78.955833333333331</v>
      </c>
      <c r="J958" s="12">
        <v>31</v>
      </c>
      <c r="K958" s="12">
        <v>28</v>
      </c>
      <c r="L958" s="4">
        <v>92.933204259438526</v>
      </c>
      <c r="M958" s="5">
        <v>1084</v>
      </c>
      <c r="N958" s="5">
        <v>813</v>
      </c>
      <c r="O958" s="5">
        <v>0</v>
      </c>
      <c r="P958" s="5">
        <v>0</v>
      </c>
    </row>
    <row r="959" spans="1:16">
      <c r="A959" s="1" t="s">
        <v>973</v>
      </c>
      <c r="B959" s="1" t="s">
        <v>914</v>
      </c>
      <c r="C959" s="1">
        <v>1995</v>
      </c>
      <c r="D959" s="1" t="s">
        <v>1715</v>
      </c>
      <c r="E959" s="17">
        <v>34885</v>
      </c>
      <c r="F959" s="18" t="str">
        <f t="shared" si="14"/>
        <v>PEPE1995_Julio</v>
      </c>
      <c r="G959" s="1" t="s">
        <v>1523</v>
      </c>
      <c r="H959" s="3">
        <v>2.3433333333333333</v>
      </c>
      <c r="I959" s="3">
        <v>-79.124722222222218</v>
      </c>
      <c r="J959" s="12">
        <v>30</v>
      </c>
      <c r="K959" s="12">
        <v>28</v>
      </c>
      <c r="L959" s="4">
        <v>140.40561622464901</v>
      </c>
      <c r="M959" s="5">
        <v>1948</v>
      </c>
      <c r="N959" s="5">
        <v>1137</v>
      </c>
      <c r="O959" s="5">
        <v>0</v>
      </c>
      <c r="P959" s="5">
        <v>0</v>
      </c>
    </row>
    <row r="960" spans="1:16">
      <c r="A960" s="1" t="s">
        <v>974</v>
      </c>
      <c r="B960" s="1" t="s">
        <v>914</v>
      </c>
      <c r="C960" s="1">
        <v>1995</v>
      </c>
      <c r="D960" s="1" t="s">
        <v>1715</v>
      </c>
      <c r="E960" s="17">
        <v>34885</v>
      </c>
      <c r="F960" s="18" t="str">
        <f t="shared" si="14"/>
        <v>PEPE1995_Julio</v>
      </c>
      <c r="G960" s="1" t="s">
        <v>1466</v>
      </c>
      <c r="H960" s="3">
        <v>2.1744444444444446</v>
      </c>
      <c r="I960" s="3">
        <v>-78.739444444444445</v>
      </c>
      <c r="J960" s="12">
        <v>28</v>
      </c>
      <c r="K960" s="12">
        <v>28</v>
      </c>
      <c r="L960" s="4">
        <v>214.4082332761578</v>
      </c>
      <c r="M960" s="5">
        <v>204</v>
      </c>
      <c r="N960" s="5">
        <v>600</v>
      </c>
      <c r="O960" s="5">
        <v>0</v>
      </c>
      <c r="P960" s="5">
        <v>45</v>
      </c>
    </row>
    <row r="961" spans="1:16">
      <c r="A961" s="1" t="s">
        <v>975</v>
      </c>
      <c r="B961" s="1" t="s">
        <v>914</v>
      </c>
      <c r="C961" s="1">
        <v>1995</v>
      </c>
      <c r="D961" s="1" t="s">
        <v>1715</v>
      </c>
      <c r="E961" s="17">
        <v>34885</v>
      </c>
      <c r="F961" s="18" t="str">
        <f t="shared" si="14"/>
        <v>PEPE1995_Julio</v>
      </c>
      <c r="G961" s="1" t="s">
        <v>1469</v>
      </c>
      <c r="H961" s="3">
        <v>2.1675</v>
      </c>
      <c r="I961" s="3">
        <v>-79.018888888888895</v>
      </c>
      <c r="J961" s="12">
        <v>33.5</v>
      </c>
      <c r="K961" s="12">
        <v>27.8</v>
      </c>
      <c r="L961" s="4">
        <v>126.24845696330378</v>
      </c>
      <c r="M961" s="5">
        <v>4243</v>
      </c>
      <c r="N961" s="5">
        <v>1247</v>
      </c>
      <c r="O961" s="5">
        <v>0</v>
      </c>
      <c r="P961" s="5">
        <v>0</v>
      </c>
    </row>
    <row r="962" spans="1:16">
      <c r="A962" s="1" t="s">
        <v>976</v>
      </c>
      <c r="B962" s="1" t="s">
        <v>914</v>
      </c>
      <c r="C962" s="1">
        <v>1995</v>
      </c>
      <c r="D962" s="1" t="s">
        <v>1715</v>
      </c>
      <c r="E962" s="17">
        <v>34885</v>
      </c>
      <c r="F962" s="18" t="str">
        <f t="shared" si="14"/>
        <v>PEPE1995_Julio</v>
      </c>
      <c r="G962" s="1" t="s">
        <v>1572</v>
      </c>
      <c r="H962" s="3">
        <v>2.1688888888888886</v>
      </c>
      <c r="I962" s="3">
        <v>-79.351944444444442</v>
      </c>
      <c r="J962" s="12">
        <v>32</v>
      </c>
      <c r="K962" s="12">
        <v>27.9</v>
      </c>
      <c r="L962" s="4">
        <v>99.575146043547534</v>
      </c>
      <c r="M962" s="5">
        <v>2279</v>
      </c>
      <c r="N962" s="5">
        <v>777</v>
      </c>
      <c r="O962" s="5">
        <v>0</v>
      </c>
      <c r="P962" s="5">
        <v>11</v>
      </c>
    </row>
    <row r="963" spans="1:16">
      <c r="A963" s="1" t="s">
        <v>977</v>
      </c>
      <c r="B963" s="1" t="s">
        <v>914</v>
      </c>
      <c r="C963" s="1">
        <v>1995</v>
      </c>
      <c r="D963" s="1" t="s">
        <v>1715</v>
      </c>
      <c r="E963" s="17">
        <v>34885</v>
      </c>
      <c r="F963" s="18" t="str">
        <f t="shared" ref="F963:F1026" si="15">"PEPE"&amp;C963&amp;"_"&amp;D963</f>
        <v>PEPE1995_Julio</v>
      </c>
      <c r="G963" s="1" t="s">
        <v>1665</v>
      </c>
      <c r="H963" s="3">
        <v>2.0094444444444446</v>
      </c>
      <c r="I963" s="3">
        <v>-78.718055555555551</v>
      </c>
      <c r="J963" s="12">
        <v>24</v>
      </c>
      <c r="K963" s="12">
        <v>28.6</v>
      </c>
      <c r="L963" s="4">
        <v>19.184038879652132</v>
      </c>
      <c r="M963" s="5">
        <v>45</v>
      </c>
      <c r="N963" s="5">
        <v>40</v>
      </c>
      <c r="O963" s="5">
        <v>0</v>
      </c>
      <c r="P963" s="5">
        <v>9</v>
      </c>
    </row>
    <row r="964" spans="1:16">
      <c r="A964" s="1" t="s">
        <v>978</v>
      </c>
      <c r="B964" s="1" t="s">
        <v>914</v>
      </c>
      <c r="C964" s="1">
        <v>1995</v>
      </c>
      <c r="D964" s="1" t="s">
        <v>1715</v>
      </c>
      <c r="E964" s="17">
        <v>34885</v>
      </c>
      <c r="F964" s="18" t="str">
        <f t="shared" si="15"/>
        <v>PEPE1995_Julio</v>
      </c>
      <c r="G964" s="1" t="s">
        <v>1474</v>
      </c>
      <c r="H964" s="3">
        <v>2</v>
      </c>
      <c r="I964" s="3">
        <v>-78.983611111111117</v>
      </c>
      <c r="J964" s="12">
        <v>33</v>
      </c>
      <c r="K964" s="12">
        <v>27.5</v>
      </c>
      <c r="L964" s="4">
        <v>200.25632809996796</v>
      </c>
      <c r="M964" s="5">
        <v>756</v>
      </c>
      <c r="N964" s="5">
        <v>4779</v>
      </c>
      <c r="O964" s="5">
        <v>0</v>
      </c>
      <c r="P964" s="5">
        <v>153</v>
      </c>
    </row>
    <row r="965" spans="1:16">
      <c r="A965" s="1" t="s">
        <v>979</v>
      </c>
      <c r="B965" s="1" t="s">
        <v>914</v>
      </c>
      <c r="C965" s="1">
        <v>1995</v>
      </c>
      <c r="D965" s="1" t="s">
        <v>1715</v>
      </c>
      <c r="E965" s="17">
        <v>34885</v>
      </c>
      <c r="F965" s="18" t="str">
        <f t="shared" si="15"/>
        <v>PEPE1995_Julio</v>
      </c>
      <c r="G965" s="1" t="s">
        <v>1573</v>
      </c>
      <c r="H965" s="3">
        <v>2.0002777777777778</v>
      </c>
      <c r="I965" s="3">
        <v>-79.327500000000001</v>
      </c>
      <c r="J965" s="12">
        <v>34</v>
      </c>
      <c r="K965" s="12">
        <v>27.5</v>
      </c>
      <c r="L965" s="4">
        <v>114.39029970258521</v>
      </c>
      <c r="M965" s="5">
        <v>1822</v>
      </c>
      <c r="N965" s="5">
        <v>878</v>
      </c>
      <c r="O965" s="5">
        <v>0</v>
      </c>
      <c r="P965" s="5">
        <v>0</v>
      </c>
    </row>
    <row r="966" spans="1:16" s="19" customFormat="1">
      <c r="A966" s="19" t="s">
        <v>980</v>
      </c>
      <c r="B966" s="19" t="s">
        <v>914</v>
      </c>
      <c r="C966" s="19">
        <v>1995</v>
      </c>
      <c r="D966" s="19" t="s">
        <v>1715</v>
      </c>
      <c r="E966" s="18">
        <v>34886</v>
      </c>
      <c r="F966" s="18" t="str">
        <f t="shared" si="15"/>
        <v>PEPE1995_Julio</v>
      </c>
      <c r="G966" s="19" t="s">
        <v>1666</v>
      </c>
      <c r="H966" s="21">
        <v>2</v>
      </c>
      <c r="I966" s="21">
        <v>-79.483611111111117</v>
      </c>
      <c r="J966" s="22">
        <v>35</v>
      </c>
      <c r="K966" s="22">
        <v>27.5</v>
      </c>
      <c r="L966" s="23">
        <v>132.51176041873717</v>
      </c>
      <c r="M966" s="24">
        <v>5460</v>
      </c>
      <c r="N966" s="24">
        <v>1924</v>
      </c>
      <c r="O966" s="24">
        <v>0</v>
      </c>
      <c r="P966" s="24">
        <v>10</v>
      </c>
    </row>
    <row r="967" spans="1:16">
      <c r="A967" s="1" t="s">
        <v>981</v>
      </c>
      <c r="B967" s="1" t="s">
        <v>914</v>
      </c>
      <c r="C967" s="1">
        <v>1995</v>
      </c>
      <c r="D967" s="1" t="s">
        <v>1715</v>
      </c>
      <c r="E967" s="17">
        <v>34886</v>
      </c>
      <c r="F967" s="18" t="str">
        <f t="shared" si="15"/>
        <v>PEPE1995_Julio</v>
      </c>
      <c r="G967" s="1" t="s">
        <v>1477</v>
      </c>
      <c r="H967" s="3">
        <v>1.8338888888888889</v>
      </c>
      <c r="I967" s="3">
        <v>-78.91</v>
      </c>
      <c r="J967" s="12">
        <v>30</v>
      </c>
      <c r="K967" s="12">
        <v>27.5</v>
      </c>
      <c r="L967" s="4">
        <v>192.01228878648234</v>
      </c>
      <c r="M967" s="5">
        <v>116</v>
      </c>
      <c r="N967" s="5">
        <v>604</v>
      </c>
      <c r="O967" s="5">
        <v>0</v>
      </c>
      <c r="P967" s="5">
        <v>3</v>
      </c>
    </row>
    <row r="968" spans="1:16">
      <c r="A968" s="1" t="s">
        <v>982</v>
      </c>
      <c r="B968" s="1" t="s">
        <v>914</v>
      </c>
      <c r="C968" s="1">
        <v>1995</v>
      </c>
      <c r="D968" s="1" t="s">
        <v>1715</v>
      </c>
      <c r="E968" s="17">
        <v>34886</v>
      </c>
      <c r="F968" s="18" t="str">
        <f t="shared" si="15"/>
        <v>PEPE1995_Julio</v>
      </c>
      <c r="G968" s="1" t="s">
        <v>1480</v>
      </c>
      <c r="H968" s="3">
        <v>1.8333333333333335</v>
      </c>
      <c r="I968" s="3">
        <v>-79.227500000000006</v>
      </c>
      <c r="J968" s="12">
        <v>35</v>
      </c>
      <c r="K968" s="12">
        <v>27</v>
      </c>
      <c r="L968" s="4">
        <v>92.184104826496338</v>
      </c>
      <c r="M968" s="5">
        <v>728</v>
      </c>
      <c r="N968" s="5">
        <v>780</v>
      </c>
      <c r="O968" s="5">
        <v>0</v>
      </c>
      <c r="P968" s="5">
        <v>0</v>
      </c>
    </row>
    <row r="969" spans="1:16">
      <c r="A969" s="1" t="s">
        <v>983</v>
      </c>
      <c r="B969" s="1" t="s">
        <v>914</v>
      </c>
      <c r="C969" s="1">
        <v>1995</v>
      </c>
      <c r="D969" s="1" t="s">
        <v>1715</v>
      </c>
      <c r="E969" s="17">
        <v>34886</v>
      </c>
      <c r="F969" s="18" t="str">
        <f t="shared" si="15"/>
        <v>PEPE1995_Julio</v>
      </c>
      <c r="G969" s="1" t="s">
        <v>1575</v>
      </c>
      <c r="H969" s="3">
        <v>1.8336111111111113</v>
      </c>
      <c r="I969" s="3">
        <v>-79.550277777777779</v>
      </c>
      <c r="J969" s="12">
        <v>35</v>
      </c>
      <c r="K969" s="12">
        <v>27</v>
      </c>
      <c r="L969" s="4">
        <v>99.282330581794469</v>
      </c>
      <c r="M969" s="5">
        <v>1725</v>
      </c>
      <c r="N969" s="5">
        <v>362</v>
      </c>
      <c r="O969" s="5">
        <v>0</v>
      </c>
      <c r="P969" s="5">
        <v>0</v>
      </c>
    </row>
    <row r="970" spans="1:16" s="19" customFormat="1">
      <c r="A970" s="19" t="s">
        <v>984</v>
      </c>
      <c r="B970" s="19" t="s">
        <v>914</v>
      </c>
      <c r="C970" s="19">
        <v>1995</v>
      </c>
      <c r="D970" s="19" t="s">
        <v>1715</v>
      </c>
      <c r="E970" s="18">
        <v>34886</v>
      </c>
      <c r="F970" s="18" t="str">
        <f t="shared" si="15"/>
        <v>PEPE1995_Julio</v>
      </c>
      <c r="G970" s="19" t="s">
        <v>1667</v>
      </c>
      <c r="H970" s="21">
        <v>1.8336111111111113</v>
      </c>
      <c r="I970" s="21">
        <v>-78.727500000000006</v>
      </c>
      <c r="J970" s="22">
        <v>35</v>
      </c>
      <c r="K970" s="22">
        <v>27.6</v>
      </c>
      <c r="L970" s="23">
        <v>184.92367695514758</v>
      </c>
      <c r="M970" s="24">
        <v>1157</v>
      </c>
      <c r="N970" s="24">
        <v>1644</v>
      </c>
      <c r="O970" s="24">
        <v>0</v>
      </c>
      <c r="P970" s="24">
        <v>9</v>
      </c>
    </row>
    <row r="971" spans="1:16">
      <c r="A971" s="1" t="s">
        <v>985</v>
      </c>
      <c r="B971" s="1" t="s">
        <v>914</v>
      </c>
      <c r="C971" s="1">
        <v>1995</v>
      </c>
      <c r="D971" s="1" t="s">
        <v>1715</v>
      </c>
      <c r="E971" s="17">
        <v>34886</v>
      </c>
      <c r="F971" s="18" t="str">
        <f t="shared" si="15"/>
        <v>PEPE1995_Julio</v>
      </c>
      <c r="G971" s="1" t="s">
        <v>1668</v>
      </c>
      <c r="H971" s="3">
        <v>1.6772222222222224</v>
      </c>
      <c r="I971" s="3">
        <v>-79.051944444444445</v>
      </c>
      <c r="J971" s="12">
        <v>20</v>
      </c>
      <c r="K971" s="12">
        <v>27.5</v>
      </c>
      <c r="L971" s="4">
        <v>150.4239219618926</v>
      </c>
      <c r="M971" s="5">
        <v>615</v>
      </c>
      <c r="N971" s="5">
        <v>2534</v>
      </c>
      <c r="O971" s="5">
        <v>0</v>
      </c>
      <c r="P971" s="5">
        <v>74</v>
      </c>
    </row>
    <row r="972" spans="1:16">
      <c r="A972" s="1" t="s">
        <v>986</v>
      </c>
      <c r="B972" s="1" t="s">
        <v>914</v>
      </c>
      <c r="C972" s="1">
        <v>1995</v>
      </c>
      <c r="D972" s="1" t="s">
        <v>1715</v>
      </c>
      <c r="E972" s="17">
        <v>34886</v>
      </c>
      <c r="F972" s="18" t="str">
        <f t="shared" si="15"/>
        <v>PEPE1995_Julio</v>
      </c>
      <c r="G972" s="1" t="s">
        <v>1669</v>
      </c>
      <c r="H972" s="3">
        <v>1.6769444444444446</v>
      </c>
      <c r="I972" s="3">
        <v>-79.343611111111116</v>
      </c>
      <c r="J972" s="12">
        <v>35</v>
      </c>
      <c r="K972" s="12">
        <v>27</v>
      </c>
      <c r="L972" s="4">
        <v>132.39187996469551</v>
      </c>
      <c r="M972" s="5">
        <v>1295</v>
      </c>
      <c r="N972" s="5">
        <v>2527</v>
      </c>
      <c r="O972" s="5">
        <v>0</v>
      </c>
      <c r="P972" s="5">
        <v>16</v>
      </c>
    </row>
    <row r="973" spans="1:16">
      <c r="A973" s="1" t="s">
        <v>987</v>
      </c>
      <c r="B973" s="1" t="s">
        <v>914</v>
      </c>
      <c r="C973" s="1">
        <v>1995</v>
      </c>
      <c r="D973" s="1" t="s">
        <v>1715</v>
      </c>
      <c r="E973" s="17">
        <v>34886</v>
      </c>
      <c r="F973" s="18" t="str">
        <f t="shared" si="15"/>
        <v>PEPE1995_Julio</v>
      </c>
      <c r="G973" s="1" t="s">
        <v>1527</v>
      </c>
      <c r="H973" s="3">
        <v>1.6666666666666665</v>
      </c>
      <c r="I973" s="3">
        <v>-79.666944444444439</v>
      </c>
      <c r="J973" s="12">
        <v>35</v>
      </c>
      <c r="K973" s="12">
        <v>27.5</v>
      </c>
      <c r="L973" s="4">
        <v>147.5288910745021</v>
      </c>
      <c r="M973" s="5">
        <v>1146</v>
      </c>
      <c r="N973" s="5">
        <v>3495</v>
      </c>
      <c r="O973" s="5">
        <v>0</v>
      </c>
      <c r="P973" s="5">
        <v>57</v>
      </c>
    </row>
    <row r="974" spans="1:16">
      <c r="A974" s="1" t="s">
        <v>988</v>
      </c>
      <c r="B974" s="1" t="s">
        <v>914</v>
      </c>
      <c r="C974" s="1">
        <v>1995</v>
      </c>
      <c r="D974" s="1" t="s">
        <v>1715</v>
      </c>
      <c r="E974" s="17">
        <v>34889</v>
      </c>
      <c r="F974" s="18" t="str">
        <f t="shared" si="15"/>
        <v>PEPE1995_Julio</v>
      </c>
      <c r="G974" s="1" t="s">
        <v>1488</v>
      </c>
      <c r="H974" s="3">
        <v>1.5019444444444443</v>
      </c>
      <c r="I974" s="3">
        <v>-79.021388888888893</v>
      </c>
      <c r="J974" s="12">
        <v>31</v>
      </c>
      <c r="K974" s="12">
        <v>28</v>
      </c>
      <c r="L974" s="4">
        <v>220.24006166721725</v>
      </c>
      <c r="M974" s="5">
        <v>172</v>
      </c>
      <c r="N974" s="5">
        <v>1644</v>
      </c>
      <c r="O974" s="5">
        <v>0</v>
      </c>
      <c r="P974" s="5">
        <v>204</v>
      </c>
    </row>
    <row r="975" spans="1:16">
      <c r="A975" s="1" t="s">
        <v>989</v>
      </c>
      <c r="B975" s="1" t="s">
        <v>914</v>
      </c>
      <c r="C975" s="1">
        <v>1995</v>
      </c>
      <c r="D975" s="1" t="s">
        <v>1715</v>
      </c>
      <c r="E975" s="17">
        <v>34888</v>
      </c>
      <c r="F975" s="18" t="str">
        <f t="shared" si="15"/>
        <v>PEPE1995_Julio</v>
      </c>
      <c r="G975" s="1" t="s">
        <v>1581</v>
      </c>
      <c r="H975" s="3">
        <v>1.5205555555555557</v>
      </c>
      <c r="I975" s="3">
        <v>-79.176944444444445</v>
      </c>
      <c r="J975" s="12">
        <v>34</v>
      </c>
      <c r="K975" s="12">
        <v>26.2</v>
      </c>
      <c r="L975" s="4">
        <v>180.13024802549535</v>
      </c>
      <c r="M975" s="5">
        <v>369</v>
      </c>
      <c r="N975" s="5">
        <v>2803</v>
      </c>
      <c r="O975" s="5">
        <v>0</v>
      </c>
      <c r="P975" s="5">
        <v>385</v>
      </c>
    </row>
    <row r="976" spans="1:16">
      <c r="A976" s="1" t="s">
        <v>990</v>
      </c>
      <c r="B976" s="1" t="s">
        <v>914</v>
      </c>
      <c r="C976" s="1">
        <v>1995</v>
      </c>
      <c r="D976" s="1" t="s">
        <v>1715</v>
      </c>
      <c r="E976" s="17">
        <v>34887</v>
      </c>
      <c r="F976" s="18" t="str">
        <f t="shared" si="15"/>
        <v>PEPE1995_Julio</v>
      </c>
      <c r="G976" s="1" t="s">
        <v>1582</v>
      </c>
      <c r="H976" s="3">
        <v>1.5</v>
      </c>
      <c r="I976" s="3">
        <v>-79.516666666666666</v>
      </c>
      <c r="J976" s="12">
        <v>35</v>
      </c>
      <c r="K976" s="12">
        <v>27</v>
      </c>
      <c r="L976" s="4">
        <v>304.4412607449857</v>
      </c>
      <c r="M976" s="5">
        <v>1668</v>
      </c>
      <c r="N976" s="5">
        <v>5752</v>
      </c>
      <c r="O976" s="5">
        <v>0</v>
      </c>
      <c r="P976" s="5">
        <v>94</v>
      </c>
    </row>
    <row r="977" spans="1:16" s="19" customFormat="1">
      <c r="A977" s="19" t="s">
        <v>991</v>
      </c>
      <c r="B977" s="19" t="s">
        <v>914</v>
      </c>
      <c r="C977" s="19">
        <v>1995</v>
      </c>
      <c r="D977" s="19" t="s">
        <v>1715</v>
      </c>
      <c r="E977" s="18">
        <v>34887</v>
      </c>
      <c r="F977" s="18" t="str">
        <f t="shared" si="15"/>
        <v>PEPE1995_Julio</v>
      </c>
      <c r="G977" s="19" t="s">
        <v>1670</v>
      </c>
      <c r="H977" s="21">
        <v>1.5005555555555556</v>
      </c>
      <c r="I977" s="21">
        <v>-79.693888888888893</v>
      </c>
      <c r="J977" s="22">
        <v>35</v>
      </c>
      <c r="K977" s="22">
        <v>27.8</v>
      </c>
      <c r="L977" s="23">
        <v>304.01366353543978</v>
      </c>
      <c r="M977" s="24">
        <v>2218</v>
      </c>
      <c r="N977" s="24">
        <v>3581</v>
      </c>
      <c r="O977" s="24">
        <v>0</v>
      </c>
      <c r="P977" s="24">
        <v>6870</v>
      </c>
    </row>
    <row r="978" spans="1:16">
      <c r="A978" s="1" t="s">
        <v>992</v>
      </c>
      <c r="B978" s="1" t="s">
        <v>993</v>
      </c>
      <c r="C978" s="1">
        <v>1996</v>
      </c>
      <c r="D978" s="1" t="s">
        <v>1717</v>
      </c>
      <c r="E978" s="17">
        <v>35201</v>
      </c>
      <c r="F978" s="18" t="str">
        <f t="shared" si="15"/>
        <v>PEPE1996_Mayo</v>
      </c>
      <c r="G978" s="1" t="s">
        <v>1671</v>
      </c>
      <c r="H978" s="3">
        <v>7.1676666666666664</v>
      </c>
      <c r="I978" s="3">
        <v>-77.859333333333339</v>
      </c>
      <c r="J978" s="12">
        <v>30</v>
      </c>
      <c r="K978" s="12">
        <v>28</v>
      </c>
      <c r="L978" s="4">
        <v>237.12</v>
      </c>
      <c r="M978" s="5">
        <v>424</v>
      </c>
      <c r="N978" s="5">
        <v>836</v>
      </c>
      <c r="O978" s="5">
        <v>259.86531347813713</v>
      </c>
      <c r="P978" s="5">
        <v>107.33567295836099</v>
      </c>
    </row>
    <row r="979" spans="1:16">
      <c r="A979" s="1" t="s">
        <v>994</v>
      </c>
      <c r="B979" s="1" t="s">
        <v>993</v>
      </c>
      <c r="C979" s="1">
        <v>1996</v>
      </c>
      <c r="D979" s="1" t="s">
        <v>1717</v>
      </c>
      <c r="E979" s="17">
        <v>35201</v>
      </c>
      <c r="F979" s="18" t="str">
        <f t="shared" si="15"/>
        <v>PEPE1996_Mayo</v>
      </c>
      <c r="G979" s="1" t="s">
        <v>1531</v>
      </c>
      <c r="H979" s="3">
        <v>7.1783333333333337</v>
      </c>
      <c r="I979" s="3">
        <v>-78.00266666666667</v>
      </c>
      <c r="J979" s="12">
        <v>30</v>
      </c>
      <c r="K979" s="12">
        <v>28.3</v>
      </c>
      <c r="L979" s="4">
        <v>231.9</v>
      </c>
      <c r="M979" s="5">
        <v>415</v>
      </c>
      <c r="N979" s="5">
        <v>1130</v>
      </c>
      <c r="O979" s="5">
        <v>199.08567596266693</v>
      </c>
      <c r="P979" s="5">
        <v>0</v>
      </c>
    </row>
    <row r="980" spans="1:16">
      <c r="A980" s="1" t="s">
        <v>995</v>
      </c>
      <c r="B980" s="1" t="s">
        <v>993</v>
      </c>
      <c r="C980" s="1">
        <v>1996</v>
      </c>
      <c r="D980" s="1" t="s">
        <v>1717</v>
      </c>
      <c r="E980" s="17">
        <v>35201</v>
      </c>
      <c r="F980" s="18" t="str">
        <f t="shared" si="15"/>
        <v>PEPE1996_Mayo</v>
      </c>
      <c r="G980" s="1" t="s">
        <v>1672</v>
      </c>
      <c r="H980" s="3">
        <v>6.9984999999999999</v>
      </c>
      <c r="I980" s="3">
        <v>-77.694333333333333</v>
      </c>
      <c r="J980" s="12">
        <v>31</v>
      </c>
      <c r="K980" s="12">
        <v>28.7</v>
      </c>
      <c r="L980" s="4">
        <v>283.60000000000002</v>
      </c>
      <c r="M980" s="5">
        <v>132</v>
      </c>
      <c r="N980" s="5">
        <v>97</v>
      </c>
      <c r="O980" s="5">
        <v>33.011911514463982</v>
      </c>
      <c r="P980" s="5">
        <v>47.159873592091401</v>
      </c>
    </row>
    <row r="981" spans="1:16">
      <c r="A981" s="1" t="s">
        <v>996</v>
      </c>
      <c r="B981" s="1" t="s">
        <v>993</v>
      </c>
      <c r="C981" s="1">
        <v>1996</v>
      </c>
      <c r="D981" s="1" t="s">
        <v>1717</v>
      </c>
      <c r="E981" s="17">
        <v>35201</v>
      </c>
      <c r="F981" s="18" t="str">
        <f t="shared" si="15"/>
        <v>PEPE1996_Mayo</v>
      </c>
      <c r="G981" s="1" t="s">
        <v>1673</v>
      </c>
      <c r="H981" s="3">
        <v>6.9993333333333334</v>
      </c>
      <c r="I981" s="3">
        <v>-77.833833333333331</v>
      </c>
      <c r="J981" s="12">
        <v>31</v>
      </c>
      <c r="K981" s="12">
        <v>28.2</v>
      </c>
      <c r="L981" s="4">
        <v>201.32</v>
      </c>
      <c r="M981" s="5">
        <v>3097</v>
      </c>
      <c r="N981" s="5">
        <v>1306</v>
      </c>
      <c r="O981" s="5">
        <v>0</v>
      </c>
      <c r="P981" s="5">
        <v>168.8116864874988</v>
      </c>
    </row>
    <row r="982" spans="1:16">
      <c r="A982" s="1" t="s">
        <v>997</v>
      </c>
      <c r="B982" s="1" t="s">
        <v>993</v>
      </c>
      <c r="C982" s="1">
        <v>1996</v>
      </c>
      <c r="D982" s="1" t="s">
        <v>1717</v>
      </c>
      <c r="E982" s="17">
        <v>35201</v>
      </c>
      <c r="F982" s="18" t="str">
        <f t="shared" si="15"/>
        <v>PEPE1996_Mayo</v>
      </c>
      <c r="G982" s="1" t="s">
        <v>1533</v>
      </c>
      <c r="H982" s="3">
        <v>6.8281666666666663</v>
      </c>
      <c r="I982" s="3">
        <v>-77.63</v>
      </c>
      <c r="J982" s="12">
        <v>30</v>
      </c>
      <c r="K982" s="12">
        <v>28</v>
      </c>
      <c r="L982" s="4">
        <v>312.5</v>
      </c>
      <c r="M982" s="5">
        <v>248</v>
      </c>
      <c r="N982" s="5">
        <v>97</v>
      </c>
      <c r="O982" s="5">
        <v>205.59375</v>
      </c>
      <c r="P982" s="5">
        <v>68.53125</v>
      </c>
    </row>
    <row r="983" spans="1:16">
      <c r="A983" s="1" t="s">
        <v>998</v>
      </c>
      <c r="B983" s="1" t="s">
        <v>993</v>
      </c>
      <c r="C983" s="1">
        <v>1996</v>
      </c>
      <c r="D983" s="1" t="s">
        <v>1717</v>
      </c>
      <c r="E983" s="17">
        <v>35201</v>
      </c>
      <c r="F983" s="18" t="str">
        <f t="shared" si="15"/>
        <v>PEPE1996_Mayo</v>
      </c>
      <c r="G983" s="1" t="s">
        <v>1535</v>
      </c>
      <c r="H983" s="3">
        <v>6.8334999999999999</v>
      </c>
      <c r="I983" s="3">
        <v>-77.781666666666666</v>
      </c>
      <c r="J983" s="12">
        <v>30</v>
      </c>
      <c r="K983" s="12">
        <v>28.2</v>
      </c>
      <c r="L983" s="4">
        <v>241.56</v>
      </c>
      <c r="M983" s="5">
        <v>89</v>
      </c>
      <c r="N983" s="5">
        <v>1347</v>
      </c>
      <c r="O983" s="5">
        <v>0</v>
      </c>
      <c r="P983" s="5">
        <v>37.950996462772842</v>
      </c>
    </row>
    <row r="984" spans="1:16">
      <c r="A984" s="1" t="s">
        <v>999</v>
      </c>
      <c r="B984" s="1" t="s">
        <v>993</v>
      </c>
      <c r="C984" s="1">
        <v>1996</v>
      </c>
      <c r="D984" s="1" t="s">
        <v>1717</v>
      </c>
      <c r="E984" s="17">
        <v>35202</v>
      </c>
      <c r="F984" s="18" t="str">
        <f t="shared" si="15"/>
        <v>PEPE1996_Mayo</v>
      </c>
      <c r="G984" s="1" t="s">
        <v>1341</v>
      </c>
      <c r="H984" s="3">
        <v>6.6695000000000002</v>
      </c>
      <c r="I984" s="3">
        <v>-77.5715</v>
      </c>
      <c r="J984" s="12">
        <v>30</v>
      </c>
      <c r="K984" s="12">
        <v>28.6</v>
      </c>
      <c r="L984" s="4">
        <v>269.39</v>
      </c>
      <c r="M984" s="5">
        <v>348</v>
      </c>
      <c r="N984" s="5">
        <v>588</v>
      </c>
      <c r="O984" s="5">
        <v>151.09913793103451</v>
      </c>
      <c r="P984" s="5">
        <v>41.971982758620697</v>
      </c>
    </row>
    <row r="985" spans="1:16">
      <c r="A985" s="1" t="s">
        <v>1000</v>
      </c>
      <c r="B985" s="1" t="s">
        <v>993</v>
      </c>
      <c r="C985" s="1">
        <v>1996</v>
      </c>
      <c r="D985" s="1" t="s">
        <v>1717</v>
      </c>
      <c r="E985" s="17">
        <v>35202</v>
      </c>
      <c r="F985" s="18" t="str">
        <f t="shared" si="15"/>
        <v>PEPE1996_Mayo</v>
      </c>
      <c r="G985" s="1" t="s">
        <v>1343</v>
      </c>
      <c r="H985" s="3">
        <v>6.6668333333333329</v>
      </c>
      <c r="I985" s="3">
        <v>-77.700666666666663</v>
      </c>
      <c r="J985" s="12">
        <v>30</v>
      </c>
      <c r="K985" s="12">
        <v>28.1</v>
      </c>
      <c r="L985" s="4">
        <v>329.41</v>
      </c>
      <c r="M985" s="5">
        <v>315</v>
      </c>
      <c r="N985" s="5">
        <v>894</v>
      </c>
      <c r="O985" s="5">
        <v>0</v>
      </c>
      <c r="P985" s="5">
        <v>12.595434639383019</v>
      </c>
    </row>
    <row r="986" spans="1:16">
      <c r="A986" s="1" t="s">
        <v>1001</v>
      </c>
      <c r="B986" s="1" t="s">
        <v>993</v>
      </c>
      <c r="C986" s="1">
        <v>1996</v>
      </c>
      <c r="D986" s="1" t="s">
        <v>1717</v>
      </c>
      <c r="E986" s="17">
        <v>35202</v>
      </c>
      <c r="F986" s="18" t="str">
        <f t="shared" si="15"/>
        <v>PEPE1996_Mayo</v>
      </c>
      <c r="G986" s="1" t="s">
        <v>1493</v>
      </c>
      <c r="H986" s="3">
        <v>6.503166666666667</v>
      </c>
      <c r="I986" s="3">
        <v>-77.390666666666661</v>
      </c>
      <c r="J986" s="12">
        <v>28</v>
      </c>
      <c r="K986" s="12">
        <v>29.9</v>
      </c>
      <c r="L986" s="4">
        <v>191.12</v>
      </c>
      <c r="M986" s="5">
        <v>127</v>
      </c>
      <c r="N986" s="5">
        <v>339</v>
      </c>
      <c r="O986" s="5">
        <v>21.206116084900913</v>
      </c>
      <c r="P986" s="5">
        <v>0</v>
      </c>
    </row>
    <row r="987" spans="1:16">
      <c r="A987" s="1" t="s">
        <v>1002</v>
      </c>
      <c r="B987" s="1" t="s">
        <v>993</v>
      </c>
      <c r="C987" s="1">
        <v>1996</v>
      </c>
      <c r="D987" s="1" t="s">
        <v>1717</v>
      </c>
      <c r="E987" s="17">
        <v>35202</v>
      </c>
      <c r="F987" s="18" t="str">
        <f t="shared" si="15"/>
        <v>PEPE1996_Mayo</v>
      </c>
      <c r="G987" s="1" t="s">
        <v>1346</v>
      </c>
      <c r="H987" s="3">
        <v>6.3265000000000002</v>
      </c>
      <c r="I987" s="3">
        <v>-77.402833333333334</v>
      </c>
      <c r="J987" s="12">
        <v>27</v>
      </c>
      <c r="K987" s="12">
        <v>28.9</v>
      </c>
      <c r="L987" s="4">
        <v>277.7</v>
      </c>
      <c r="M987" s="5">
        <v>158</v>
      </c>
      <c r="N987" s="5">
        <v>491</v>
      </c>
      <c r="O987" s="5">
        <v>0</v>
      </c>
      <c r="P987" s="5">
        <v>24.950701291487292</v>
      </c>
    </row>
    <row r="988" spans="1:16">
      <c r="A988" s="1" t="s">
        <v>1003</v>
      </c>
      <c r="B988" s="1" t="s">
        <v>993</v>
      </c>
      <c r="C988" s="1">
        <v>1996</v>
      </c>
      <c r="D988" s="1" t="s">
        <v>1717</v>
      </c>
      <c r="E988" s="17">
        <v>35203</v>
      </c>
      <c r="F988" s="18" t="str">
        <f t="shared" si="15"/>
        <v>PEPE1996_Mayo</v>
      </c>
      <c r="G988" s="1" t="s">
        <v>1500</v>
      </c>
      <c r="H988" s="3">
        <v>6.1651666666666669</v>
      </c>
      <c r="I988" s="3">
        <v>-77.497166666666672</v>
      </c>
      <c r="J988" s="12">
        <v>30</v>
      </c>
      <c r="K988" s="12">
        <v>28.2</v>
      </c>
      <c r="L988" s="4">
        <v>246.99</v>
      </c>
      <c r="M988" s="5">
        <v>128</v>
      </c>
      <c r="N988" s="5">
        <v>363</v>
      </c>
      <c r="O988" s="5">
        <v>9.8188704100115274</v>
      </c>
      <c r="P988" s="5">
        <v>0</v>
      </c>
    </row>
    <row r="989" spans="1:16">
      <c r="A989" s="1" t="s">
        <v>1004</v>
      </c>
      <c r="B989" s="1" t="s">
        <v>993</v>
      </c>
      <c r="C989" s="1">
        <v>1996</v>
      </c>
      <c r="D989" s="1" t="s">
        <v>1717</v>
      </c>
      <c r="E989" s="17">
        <v>35203</v>
      </c>
      <c r="F989" s="18" t="str">
        <f t="shared" si="15"/>
        <v>PEPE1996_Mayo</v>
      </c>
      <c r="G989" s="1" t="s">
        <v>1674</v>
      </c>
      <c r="H989" s="3">
        <v>6</v>
      </c>
      <c r="I989" s="3">
        <v>-77.634166666666673</v>
      </c>
      <c r="J989" s="12">
        <v>28</v>
      </c>
      <c r="K989" s="12">
        <v>28.3</v>
      </c>
      <c r="L989" s="4">
        <v>710.78</v>
      </c>
      <c r="M989" s="5">
        <v>2622</v>
      </c>
      <c r="N989" s="5">
        <v>1769</v>
      </c>
      <c r="O989" s="5">
        <v>5.7627546990996681</v>
      </c>
      <c r="P989" s="5">
        <v>0</v>
      </c>
    </row>
    <row r="990" spans="1:16">
      <c r="A990" s="1" t="s">
        <v>1005</v>
      </c>
      <c r="B990" s="1" t="s">
        <v>993</v>
      </c>
      <c r="C990" s="1">
        <v>1996</v>
      </c>
      <c r="D990" s="1" t="s">
        <v>1717</v>
      </c>
      <c r="E990" s="17">
        <v>35204</v>
      </c>
      <c r="F990" s="18" t="str">
        <f t="shared" si="15"/>
        <v>PEPE1996_Mayo</v>
      </c>
      <c r="G990" s="1" t="s">
        <v>1540</v>
      </c>
      <c r="H990" s="3">
        <v>5.9883333333333333</v>
      </c>
      <c r="I990" s="3">
        <v>-77.38333333333334</v>
      </c>
      <c r="J990" s="12">
        <v>26</v>
      </c>
      <c r="K990" s="12">
        <v>28.2</v>
      </c>
      <c r="L990" s="4">
        <v>410.32</v>
      </c>
      <c r="M990" s="5">
        <v>456</v>
      </c>
      <c r="N990" s="5">
        <v>488</v>
      </c>
      <c r="O990" s="5">
        <v>336.05884707766216</v>
      </c>
      <c r="P990" s="5">
        <v>32.005604483586872</v>
      </c>
    </row>
    <row r="991" spans="1:16">
      <c r="A991" s="1" t="s">
        <v>1006</v>
      </c>
      <c r="B991" s="1" t="s">
        <v>993</v>
      </c>
      <c r="C991" s="1">
        <v>1996</v>
      </c>
      <c r="D991" s="1" t="s">
        <v>1717</v>
      </c>
      <c r="E991" s="17">
        <v>35204</v>
      </c>
      <c r="F991" s="18" t="str">
        <f t="shared" si="15"/>
        <v>PEPE1996_Mayo</v>
      </c>
      <c r="G991" s="1" t="s">
        <v>1541</v>
      </c>
      <c r="H991" s="3">
        <v>5.9986666666666668</v>
      </c>
      <c r="I991" s="3">
        <v>-77.518833333333333</v>
      </c>
      <c r="J991" s="12">
        <v>29</v>
      </c>
      <c r="K991" s="12">
        <v>28.5</v>
      </c>
      <c r="L991" s="4">
        <v>246.34</v>
      </c>
      <c r="M991" s="5">
        <v>5637</v>
      </c>
      <c r="N991" s="5">
        <v>477</v>
      </c>
      <c r="O991" s="5">
        <v>0</v>
      </c>
      <c r="P991" s="5">
        <v>0</v>
      </c>
    </row>
    <row r="992" spans="1:16">
      <c r="A992" s="1" t="s">
        <v>1007</v>
      </c>
      <c r="B992" s="1" t="s">
        <v>993</v>
      </c>
      <c r="C992" s="1">
        <v>1996</v>
      </c>
      <c r="D992" s="1" t="s">
        <v>1717</v>
      </c>
      <c r="E992" s="17">
        <v>35204</v>
      </c>
      <c r="F992" s="18" t="str">
        <f t="shared" si="15"/>
        <v>PEPE1996_Mayo</v>
      </c>
      <c r="G992" s="1" t="s">
        <v>1356</v>
      </c>
      <c r="H992" s="3">
        <v>5.8313333333333333</v>
      </c>
      <c r="I992" s="3">
        <v>-77.329666666666668</v>
      </c>
      <c r="J992" s="12">
        <v>26</v>
      </c>
      <c r="K992" s="12">
        <v>28</v>
      </c>
      <c r="L992" s="4">
        <v>206.29</v>
      </c>
      <c r="M992" s="5">
        <v>221</v>
      </c>
      <c r="N992" s="5">
        <v>1039</v>
      </c>
      <c r="O992" s="5">
        <v>27.591026302217639</v>
      </c>
      <c r="P992" s="5">
        <v>128.75812274368232</v>
      </c>
    </row>
    <row r="993" spans="1:16">
      <c r="A993" s="1" t="s">
        <v>1008</v>
      </c>
      <c r="B993" s="1" t="s">
        <v>993</v>
      </c>
      <c r="C993" s="1">
        <v>1996</v>
      </c>
      <c r="D993" s="1" t="s">
        <v>1717</v>
      </c>
      <c r="E993" s="17">
        <v>35204</v>
      </c>
      <c r="F993" s="18" t="str">
        <f t="shared" si="15"/>
        <v>PEPE1996_Mayo</v>
      </c>
      <c r="G993" s="1" t="s">
        <v>1358</v>
      </c>
      <c r="H993" s="3">
        <v>5.8308333333333335</v>
      </c>
      <c r="I993" s="3">
        <v>-77.44916666666667</v>
      </c>
      <c r="J993" s="12">
        <v>26</v>
      </c>
      <c r="K993" s="12">
        <v>27.9</v>
      </c>
      <c r="L993" s="4">
        <v>180.05</v>
      </c>
      <c r="M993" s="5">
        <v>146</v>
      </c>
      <c r="N993" s="5">
        <v>629</v>
      </c>
      <c r="O993" s="5">
        <v>0</v>
      </c>
      <c r="P993" s="5">
        <v>8.6153499887463418</v>
      </c>
    </row>
    <row r="994" spans="1:16">
      <c r="A994" s="1" t="s">
        <v>1009</v>
      </c>
      <c r="B994" s="1" t="s">
        <v>993</v>
      </c>
      <c r="C994" s="1">
        <v>1996</v>
      </c>
      <c r="D994" s="1" t="s">
        <v>1717</v>
      </c>
      <c r="E994" s="17">
        <v>35204</v>
      </c>
      <c r="F994" s="18" t="str">
        <f t="shared" si="15"/>
        <v>PEPE1996_Mayo</v>
      </c>
      <c r="G994" s="1" t="s">
        <v>1504</v>
      </c>
      <c r="H994" s="3">
        <v>5.6905000000000001</v>
      </c>
      <c r="I994" s="3">
        <v>-77.353833333333327</v>
      </c>
      <c r="J994" s="12">
        <v>25</v>
      </c>
      <c r="K994" s="12">
        <v>28.1</v>
      </c>
      <c r="L994" s="4">
        <v>262.37</v>
      </c>
      <c r="M994" s="5">
        <v>196</v>
      </c>
      <c r="N994" s="5">
        <v>938</v>
      </c>
      <c r="O994" s="5">
        <v>98.20185411929333</v>
      </c>
      <c r="P994" s="5">
        <v>109.11317124365925</v>
      </c>
    </row>
    <row r="995" spans="1:16">
      <c r="A995" s="1" t="s">
        <v>1010</v>
      </c>
      <c r="B995" s="1" t="s">
        <v>993</v>
      </c>
      <c r="C995" s="1">
        <v>1996</v>
      </c>
      <c r="D995" s="1" t="s">
        <v>1717</v>
      </c>
      <c r="E995" s="17">
        <v>35204</v>
      </c>
      <c r="F995" s="18" t="str">
        <f t="shared" si="15"/>
        <v>PEPE1996_Mayo</v>
      </c>
      <c r="G995" s="1" t="s">
        <v>1506</v>
      </c>
      <c r="H995" s="3">
        <v>5.668333333333333</v>
      </c>
      <c r="I995" s="3">
        <v>-77.486666666666665</v>
      </c>
      <c r="J995" s="12">
        <v>26</v>
      </c>
      <c r="K995" s="12">
        <v>28.1</v>
      </c>
      <c r="L995" s="4">
        <v>225.27</v>
      </c>
      <c r="M995" s="5">
        <v>143</v>
      </c>
      <c r="N995" s="5">
        <v>890</v>
      </c>
      <c r="O995" s="5">
        <v>32.962378914169861</v>
      </c>
      <c r="P995" s="5">
        <v>236.23038221821733</v>
      </c>
    </row>
    <row r="996" spans="1:16">
      <c r="A996" s="1" t="s">
        <v>1011</v>
      </c>
      <c r="B996" s="1" t="s">
        <v>993</v>
      </c>
      <c r="C996" s="1">
        <v>1996</v>
      </c>
      <c r="D996" s="1" t="s">
        <v>1717</v>
      </c>
      <c r="E996" s="17">
        <v>35204</v>
      </c>
      <c r="F996" s="18" t="str">
        <f t="shared" si="15"/>
        <v>PEPE1996_Mayo</v>
      </c>
      <c r="G996" s="1" t="s">
        <v>1361</v>
      </c>
      <c r="H996" s="3">
        <v>5.5003333333333337</v>
      </c>
      <c r="I996" s="3">
        <v>-77.567166666666665</v>
      </c>
      <c r="J996" s="12">
        <v>26</v>
      </c>
      <c r="K996" s="12">
        <v>28.7</v>
      </c>
      <c r="L996" s="4">
        <v>174.01</v>
      </c>
      <c r="M996" s="5">
        <v>107</v>
      </c>
      <c r="N996" s="5">
        <v>966</v>
      </c>
      <c r="O996" s="5">
        <v>0</v>
      </c>
      <c r="P996" s="5">
        <v>126.88941094579309</v>
      </c>
    </row>
    <row r="997" spans="1:16">
      <c r="A997" s="1" t="s">
        <v>1012</v>
      </c>
      <c r="B997" s="1" t="s">
        <v>993</v>
      </c>
      <c r="C997" s="1">
        <v>1996</v>
      </c>
      <c r="D997" s="1" t="s">
        <v>1717</v>
      </c>
      <c r="E997" s="17">
        <v>35204</v>
      </c>
      <c r="F997" s="18" t="str">
        <f t="shared" si="15"/>
        <v>PEPE1996_Mayo</v>
      </c>
      <c r="G997" s="1" t="s">
        <v>1362</v>
      </c>
      <c r="H997" s="3">
        <v>5.3973333333333331</v>
      </c>
      <c r="I997" s="3">
        <v>-77.7</v>
      </c>
      <c r="J997" s="12">
        <v>28</v>
      </c>
      <c r="K997" s="12">
        <v>28.2</v>
      </c>
      <c r="L997" s="4">
        <v>215.8</v>
      </c>
      <c r="M997" s="5">
        <v>802</v>
      </c>
      <c r="N997" s="5">
        <v>647</v>
      </c>
      <c r="O997" s="5">
        <v>0</v>
      </c>
      <c r="P997" s="5">
        <v>0</v>
      </c>
    </row>
    <row r="998" spans="1:16">
      <c r="A998" s="1" t="s">
        <v>1013</v>
      </c>
      <c r="B998" s="1" t="s">
        <v>993</v>
      </c>
      <c r="C998" s="1">
        <v>1996</v>
      </c>
      <c r="D998" s="1" t="s">
        <v>1717</v>
      </c>
      <c r="E998" s="17">
        <v>35205</v>
      </c>
      <c r="F998" s="18" t="str">
        <f t="shared" si="15"/>
        <v>PEPE1996_Mayo</v>
      </c>
      <c r="G998" s="1" t="s">
        <v>1675</v>
      </c>
      <c r="H998" s="3">
        <v>5.3301666666666669</v>
      </c>
      <c r="I998" s="3">
        <v>-77.486166666666662</v>
      </c>
      <c r="J998" s="12">
        <v>25</v>
      </c>
      <c r="K998" s="12">
        <v>28.6</v>
      </c>
      <c r="L998" s="4">
        <v>225.56</v>
      </c>
      <c r="M998" s="5">
        <v>113</v>
      </c>
      <c r="N998" s="5">
        <v>24</v>
      </c>
      <c r="O998" s="5">
        <v>59.05263157894737</v>
      </c>
      <c r="P998" s="5">
        <v>2.6842105263157894</v>
      </c>
    </row>
    <row r="999" spans="1:16">
      <c r="A999" s="1" t="s">
        <v>1014</v>
      </c>
      <c r="B999" s="1" t="s">
        <v>993</v>
      </c>
      <c r="C999" s="1">
        <v>1996</v>
      </c>
      <c r="D999" s="1" t="s">
        <v>1717</v>
      </c>
      <c r="E999" s="17">
        <v>35205</v>
      </c>
      <c r="F999" s="18" t="str">
        <f t="shared" si="15"/>
        <v>PEPE1996_Mayo</v>
      </c>
      <c r="G999" s="1" t="s">
        <v>1366</v>
      </c>
      <c r="H999" s="3">
        <v>5.335</v>
      </c>
      <c r="I999" s="3">
        <v>-77.573999999999998</v>
      </c>
      <c r="J999" s="12">
        <v>25</v>
      </c>
      <c r="K999" s="12">
        <v>28.1</v>
      </c>
      <c r="L999" s="4">
        <v>259.11</v>
      </c>
      <c r="M999" s="5">
        <v>185</v>
      </c>
      <c r="N999" s="5">
        <v>1557</v>
      </c>
      <c r="O999" s="5">
        <v>0</v>
      </c>
      <c r="P999" s="5">
        <v>224.76583493282146</v>
      </c>
    </row>
    <row r="1000" spans="1:16">
      <c r="A1000" s="1" t="s">
        <v>1015</v>
      </c>
      <c r="B1000" s="1" t="s">
        <v>993</v>
      </c>
      <c r="C1000" s="1">
        <v>1996</v>
      </c>
      <c r="D1000" s="1" t="s">
        <v>1717</v>
      </c>
      <c r="E1000" s="17">
        <v>35205</v>
      </c>
      <c r="F1000" s="18" t="str">
        <f t="shared" si="15"/>
        <v>PEPE1996_Mayo</v>
      </c>
      <c r="G1000" s="1" t="s">
        <v>1379</v>
      </c>
      <c r="H1000" s="3">
        <v>5.1651666666666669</v>
      </c>
      <c r="I1000" s="3">
        <v>-77.483000000000004</v>
      </c>
      <c r="J1000" s="12">
        <v>25</v>
      </c>
      <c r="K1000" s="12">
        <v>28.5</v>
      </c>
      <c r="L1000" s="4">
        <v>441.98</v>
      </c>
      <c r="M1000" s="5">
        <v>48</v>
      </c>
      <c r="N1000" s="5">
        <v>196</v>
      </c>
      <c r="O1000" s="5">
        <v>40.046961325966848</v>
      </c>
      <c r="P1000" s="5">
        <v>48.47790055248619</v>
      </c>
    </row>
    <row r="1001" spans="1:16">
      <c r="A1001" s="1" t="s">
        <v>1016</v>
      </c>
      <c r="B1001" s="1" t="s">
        <v>993</v>
      </c>
      <c r="C1001" s="1">
        <v>1996</v>
      </c>
      <c r="D1001" s="1" t="s">
        <v>1717</v>
      </c>
      <c r="E1001" s="17">
        <v>35205</v>
      </c>
      <c r="F1001" s="18" t="str">
        <f t="shared" si="15"/>
        <v>PEPE1996_Mayo</v>
      </c>
      <c r="G1001" s="1" t="s">
        <v>1380</v>
      </c>
      <c r="H1001" s="3">
        <v>5.1696666666666671</v>
      </c>
      <c r="I1001" s="3">
        <v>-77.569000000000003</v>
      </c>
      <c r="J1001" s="12">
        <v>25</v>
      </c>
      <c r="K1001" s="12">
        <v>28.7</v>
      </c>
      <c r="L1001" s="4">
        <v>379.37</v>
      </c>
      <c r="M1001" s="5">
        <v>134</v>
      </c>
      <c r="N1001" s="5">
        <v>1661</v>
      </c>
      <c r="O1001" s="5">
        <v>12.724362774155306</v>
      </c>
      <c r="P1001" s="5">
        <v>197.22762299940726</v>
      </c>
    </row>
    <row r="1002" spans="1:16">
      <c r="A1002" s="1" t="s">
        <v>1017</v>
      </c>
      <c r="B1002" s="1" t="s">
        <v>993</v>
      </c>
      <c r="C1002" s="1">
        <v>1996</v>
      </c>
      <c r="D1002" s="1" t="s">
        <v>1717</v>
      </c>
      <c r="E1002" s="17">
        <v>35206</v>
      </c>
      <c r="F1002" s="18" t="str">
        <f t="shared" si="15"/>
        <v>PEPE1996_Mayo</v>
      </c>
      <c r="G1002" s="1" t="s">
        <v>1676</v>
      </c>
      <c r="H1002" s="3">
        <v>4.9989999999999997</v>
      </c>
      <c r="I1002" s="3">
        <v>-77.450500000000005</v>
      </c>
      <c r="J1002" s="12">
        <v>22</v>
      </c>
      <c r="K1002" s="12">
        <v>28.5</v>
      </c>
      <c r="L1002" s="4">
        <v>251.88</v>
      </c>
      <c r="M1002" s="5">
        <v>722</v>
      </c>
      <c r="N1002" s="5">
        <v>910</v>
      </c>
      <c r="O1002" s="5">
        <v>147.73803526448364</v>
      </c>
      <c r="P1002" s="5">
        <v>285.16876574307304</v>
      </c>
    </row>
    <row r="1003" spans="1:16">
      <c r="A1003" s="1" t="s">
        <v>1018</v>
      </c>
      <c r="B1003" s="1" t="s">
        <v>993</v>
      </c>
      <c r="C1003" s="1">
        <v>1996</v>
      </c>
      <c r="D1003" s="1" t="s">
        <v>1717</v>
      </c>
      <c r="E1003" s="17">
        <v>35205</v>
      </c>
      <c r="F1003" s="18" t="str">
        <f t="shared" si="15"/>
        <v>PEPE1996_Mayo</v>
      </c>
      <c r="G1003" s="1" t="s">
        <v>1385</v>
      </c>
      <c r="H1003" s="3">
        <v>5.0028333333333332</v>
      </c>
      <c r="I1003" s="3">
        <v>-77.536500000000004</v>
      </c>
      <c r="J1003" s="12">
        <v>20</v>
      </c>
      <c r="K1003" s="12">
        <v>27.8</v>
      </c>
      <c r="L1003" s="4">
        <v>248.39</v>
      </c>
      <c r="M1003" s="5">
        <v>151</v>
      </c>
      <c r="N1003" s="5">
        <v>976</v>
      </c>
      <c r="O1003" s="5">
        <v>20.615384615384617</v>
      </c>
      <c r="P1003" s="5">
        <v>27.487179487179489</v>
      </c>
    </row>
    <row r="1004" spans="1:16">
      <c r="A1004" s="1" t="s">
        <v>1019</v>
      </c>
      <c r="B1004" s="1" t="s">
        <v>993</v>
      </c>
      <c r="C1004" s="1">
        <v>1996</v>
      </c>
      <c r="D1004" s="1" t="s">
        <v>1717</v>
      </c>
      <c r="E1004" s="17">
        <v>35206</v>
      </c>
      <c r="F1004" s="18" t="str">
        <f t="shared" si="15"/>
        <v>PEPE1996_Mayo</v>
      </c>
      <c r="G1004" s="1" t="s">
        <v>1389</v>
      </c>
      <c r="H1004" s="3">
        <v>4.8319999999999999</v>
      </c>
      <c r="I1004" s="3">
        <v>-77.452666666666673</v>
      </c>
      <c r="J1004" s="12">
        <v>23</v>
      </c>
      <c r="K1004" s="12">
        <v>28.6</v>
      </c>
      <c r="L1004" s="4">
        <v>263.14999999999998</v>
      </c>
      <c r="M1004" s="5">
        <v>135</v>
      </c>
      <c r="N1004" s="5">
        <v>510</v>
      </c>
      <c r="O1004" s="5">
        <v>3.4692982456140347</v>
      </c>
      <c r="P1004" s="5">
        <v>55.508771929824555</v>
      </c>
    </row>
    <row r="1005" spans="1:16">
      <c r="A1005" s="1" t="s">
        <v>1020</v>
      </c>
      <c r="B1005" s="1" t="s">
        <v>993</v>
      </c>
      <c r="C1005" s="1">
        <v>1996</v>
      </c>
      <c r="D1005" s="1" t="s">
        <v>1717</v>
      </c>
      <c r="E1005" s="17">
        <v>35206</v>
      </c>
      <c r="F1005" s="18" t="str">
        <f t="shared" si="15"/>
        <v>PEPE1996_Mayo</v>
      </c>
      <c r="G1005" s="1" t="s">
        <v>1390</v>
      </c>
      <c r="H1005" s="3">
        <v>4.8334999999999999</v>
      </c>
      <c r="I1005" s="3">
        <v>-77.517166666666668</v>
      </c>
      <c r="J1005" s="12">
        <v>26</v>
      </c>
      <c r="K1005" s="12">
        <v>29.2</v>
      </c>
      <c r="L1005" s="4">
        <v>167.25</v>
      </c>
      <c r="M1005" s="5">
        <v>279</v>
      </c>
      <c r="N1005" s="5">
        <v>2099</v>
      </c>
      <c r="O1005" s="5">
        <v>0</v>
      </c>
      <c r="P1005" s="5">
        <v>97.070383275261335</v>
      </c>
    </row>
    <row r="1006" spans="1:16">
      <c r="A1006" s="1" t="s">
        <v>1021</v>
      </c>
      <c r="B1006" s="1" t="s">
        <v>993</v>
      </c>
      <c r="C1006" s="1">
        <v>1996</v>
      </c>
      <c r="D1006" s="1" t="s">
        <v>1717</v>
      </c>
      <c r="E1006" s="17">
        <v>35206</v>
      </c>
      <c r="F1006" s="18" t="str">
        <f t="shared" si="15"/>
        <v>PEPE1996_Mayo</v>
      </c>
      <c r="G1006" s="1" t="s">
        <v>1617</v>
      </c>
      <c r="H1006" s="3">
        <v>4.6631666666666671</v>
      </c>
      <c r="I1006" s="3">
        <v>-77.408333333333331</v>
      </c>
      <c r="J1006" s="12">
        <v>26</v>
      </c>
      <c r="K1006" s="12">
        <v>28.5</v>
      </c>
      <c r="L1006" s="4">
        <v>505.05</v>
      </c>
      <c r="M1006" s="5">
        <v>943</v>
      </c>
      <c r="N1006" s="5">
        <v>285</v>
      </c>
      <c r="O1006" s="5">
        <v>19.727272727272727</v>
      </c>
      <c r="P1006" s="5">
        <v>113.97979797979798</v>
      </c>
    </row>
    <row r="1007" spans="1:16">
      <c r="A1007" s="1" t="s">
        <v>1022</v>
      </c>
      <c r="B1007" s="1" t="s">
        <v>993</v>
      </c>
      <c r="C1007" s="1">
        <v>1996</v>
      </c>
      <c r="D1007" s="1" t="s">
        <v>1717</v>
      </c>
      <c r="E1007" s="17">
        <v>35207</v>
      </c>
      <c r="F1007" s="18" t="str">
        <f t="shared" si="15"/>
        <v>PEPE1996_Mayo</v>
      </c>
      <c r="G1007" s="1" t="s">
        <v>1399</v>
      </c>
      <c r="H1007" s="3">
        <v>4.5093333333333332</v>
      </c>
      <c r="I1007" s="3">
        <v>-77.433666666666667</v>
      </c>
      <c r="J1007" s="12">
        <v>24</v>
      </c>
      <c r="K1007" s="12">
        <v>28.3</v>
      </c>
      <c r="L1007" s="4">
        <v>457.08</v>
      </c>
      <c r="M1007" s="5">
        <v>22</v>
      </c>
      <c r="N1007" s="5">
        <v>1639</v>
      </c>
      <c r="O1007" s="5">
        <v>2.0383912248628886</v>
      </c>
      <c r="P1007" s="5">
        <v>450.48446069469838</v>
      </c>
    </row>
    <row r="1008" spans="1:16">
      <c r="A1008" s="1" t="s">
        <v>1023</v>
      </c>
      <c r="B1008" s="1" t="s">
        <v>993</v>
      </c>
      <c r="C1008" s="1">
        <v>1996</v>
      </c>
      <c r="D1008" s="1" t="s">
        <v>1717</v>
      </c>
      <c r="E1008" s="17">
        <v>35207</v>
      </c>
      <c r="F1008" s="18" t="str">
        <f t="shared" si="15"/>
        <v>PEPE1996_Mayo</v>
      </c>
      <c r="G1008" s="1" t="s">
        <v>1550</v>
      </c>
      <c r="H1008" s="3">
        <v>4.3360000000000003</v>
      </c>
      <c r="I1008" s="3">
        <v>-77.517166666666668</v>
      </c>
      <c r="J1008" s="12">
        <v>18</v>
      </c>
      <c r="K1008" s="12">
        <v>27.9</v>
      </c>
      <c r="L1008" s="4">
        <v>97.64</v>
      </c>
      <c r="M1008" s="5">
        <v>247</v>
      </c>
      <c r="N1008" s="5">
        <v>651</v>
      </c>
      <c r="O1008" s="5">
        <v>54.975301550832853</v>
      </c>
      <c r="P1008" s="5">
        <v>155.76335439402644</v>
      </c>
    </row>
    <row r="1009" spans="1:16">
      <c r="A1009" s="1" t="s">
        <v>1024</v>
      </c>
      <c r="B1009" s="1" t="s">
        <v>993</v>
      </c>
      <c r="C1009" s="1">
        <v>1996</v>
      </c>
      <c r="D1009" s="1" t="s">
        <v>1717</v>
      </c>
      <c r="E1009" s="17">
        <v>35207</v>
      </c>
      <c r="F1009" s="18" t="str">
        <f t="shared" si="15"/>
        <v>PEPE1996_Mayo</v>
      </c>
      <c r="G1009" s="1" t="s">
        <v>1405</v>
      </c>
      <c r="H1009" s="3">
        <v>4.3346666666666662</v>
      </c>
      <c r="I1009" s="3">
        <v>-77.601666666666674</v>
      </c>
      <c r="J1009" s="12">
        <v>20</v>
      </c>
      <c r="K1009" s="12">
        <v>28.2</v>
      </c>
      <c r="L1009" s="4">
        <v>149.31</v>
      </c>
      <c r="M1009" s="5">
        <v>79</v>
      </c>
      <c r="N1009" s="5">
        <v>647</v>
      </c>
      <c r="O1009" s="5">
        <v>0</v>
      </c>
      <c r="P1009" s="5">
        <v>0</v>
      </c>
    </row>
    <row r="1010" spans="1:16">
      <c r="A1010" s="1" t="s">
        <v>1025</v>
      </c>
      <c r="B1010" s="1" t="s">
        <v>993</v>
      </c>
      <c r="C1010" s="1">
        <v>1996</v>
      </c>
      <c r="D1010" s="1" t="s">
        <v>1717</v>
      </c>
      <c r="E1010" s="17">
        <v>35207</v>
      </c>
      <c r="F1010" s="18" t="str">
        <f t="shared" si="15"/>
        <v>PEPE1996_Mayo</v>
      </c>
      <c r="G1010" s="1" t="s">
        <v>1410</v>
      </c>
      <c r="H1010" s="3">
        <v>4.1680000000000001</v>
      </c>
      <c r="I1010" s="3">
        <v>-77.683666666666667</v>
      </c>
      <c r="J1010" s="12">
        <v>30</v>
      </c>
      <c r="K1010" s="12">
        <v>28.1</v>
      </c>
      <c r="L1010" s="4">
        <v>170.8</v>
      </c>
      <c r="M1010" s="5">
        <v>323</v>
      </c>
      <c r="N1010" s="5">
        <v>751</v>
      </c>
      <c r="O1010" s="5">
        <v>0</v>
      </c>
      <c r="P1010" s="5">
        <v>139.65399449035812</v>
      </c>
    </row>
    <row r="1011" spans="1:16">
      <c r="A1011" s="1" t="s">
        <v>1026</v>
      </c>
      <c r="B1011" s="1" t="s">
        <v>993</v>
      </c>
      <c r="C1011" s="1">
        <v>1996</v>
      </c>
      <c r="D1011" s="1" t="s">
        <v>1717</v>
      </c>
      <c r="E1011" s="17">
        <v>35207</v>
      </c>
      <c r="F1011" s="18" t="str">
        <f t="shared" si="15"/>
        <v>PEPE1996_Mayo</v>
      </c>
      <c r="G1011" s="1" t="s">
        <v>1644</v>
      </c>
      <c r="H1011" s="3">
        <v>4.1680000000000001</v>
      </c>
      <c r="I1011" s="3">
        <v>-77.583666666666673</v>
      </c>
      <c r="J1011" s="12">
        <v>11</v>
      </c>
      <c r="K1011" s="12">
        <v>26.4</v>
      </c>
      <c r="L1011" s="4">
        <v>356.29</v>
      </c>
      <c r="M1011" s="5">
        <v>558</v>
      </c>
      <c r="N1011" s="5">
        <v>2269</v>
      </c>
      <c r="O1011" s="5">
        <v>10.6270783847981</v>
      </c>
      <c r="P1011" s="5">
        <v>1030.8266033254158</v>
      </c>
    </row>
    <row r="1012" spans="1:16">
      <c r="A1012" s="1" t="s">
        <v>1027</v>
      </c>
      <c r="B1012" s="1" t="s">
        <v>993</v>
      </c>
      <c r="C1012" s="1">
        <v>1996</v>
      </c>
      <c r="D1012" s="1" t="s">
        <v>1717</v>
      </c>
      <c r="E1012" s="17">
        <v>35208</v>
      </c>
      <c r="F1012" s="18" t="str">
        <f t="shared" si="15"/>
        <v>PEPE1996_Mayo</v>
      </c>
      <c r="G1012" s="1" t="s">
        <v>1677</v>
      </c>
      <c r="H1012" s="3">
        <v>4.0013333333333332</v>
      </c>
      <c r="I1012" s="3">
        <v>-77.506500000000003</v>
      </c>
      <c r="J1012" s="12">
        <v>30</v>
      </c>
      <c r="K1012" s="12">
        <v>27.9</v>
      </c>
      <c r="L1012" s="4">
        <v>324.37</v>
      </c>
      <c r="M1012" s="5">
        <v>34</v>
      </c>
      <c r="N1012" s="5">
        <v>329</v>
      </c>
      <c r="O1012" s="5">
        <v>4.0759962928637625</v>
      </c>
      <c r="P1012" s="5">
        <v>32.6079703429101</v>
      </c>
    </row>
    <row r="1013" spans="1:16">
      <c r="A1013" s="1" t="s">
        <v>1028</v>
      </c>
      <c r="B1013" s="1" t="s">
        <v>993</v>
      </c>
      <c r="C1013" s="1">
        <v>1996</v>
      </c>
      <c r="D1013" s="1" t="s">
        <v>1717</v>
      </c>
      <c r="E1013" s="17">
        <v>35207</v>
      </c>
      <c r="F1013" s="18" t="str">
        <f t="shared" si="15"/>
        <v>PEPE1996_Mayo</v>
      </c>
      <c r="G1013" s="1" t="s">
        <v>1415</v>
      </c>
      <c r="H1013" s="3">
        <v>4.0006666666666666</v>
      </c>
      <c r="I1013" s="3">
        <v>-77.751000000000005</v>
      </c>
      <c r="J1013" s="12">
        <v>30</v>
      </c>
      <c r="K1013" s="12">
        <v>27.9</v>
      </c>
      <c r="L1013" s="4">
        <v>226.57</v>
      </c>
      <c r="M1013" s="5">
        <v>505</v>
      </c>
      <c r="N1013" s="5">
        <v>1082</v>
      </c>
      <c r="O1013" s="5">
        <v>0</v>
      </c>
      <c r="P1013" s="5">
        <v>36.082669932639313</v>
      </c>
    </row>
    <row r="1014" spans="1:16">
      <c r="A1014" s="1" t="s">
        <v>1029</v>
      </c>
      <c r="B1014" s="1" t="s">
        <v>993</v>
      </c>
      <c r="C1014" s="1">
        <v>1996</v>
      </c>
      <c r="D1014" s="1" t="s">
        <v>1717</v>
      </c>
      <c r="E1014" s="17">
        <v>35208</v>
      </c>
      <c r="F1014" s="18" t="str">
        <f t="shared" si="15"/>
        <v>PEPE1996_Mayo</v>
      </c>
      <c r="G1014" s="1" t="s">
        <v>1645</v>
      </c>
      <c r="H1014" s="3">
        <v>3.8355000000000001</v>
      </c>
      <c r="I1014" s="3">
        <v>-77.384333333333331</v>
      </c>
      <c r="J1014" s="12">
        <v>19</v>
      </c>
      <c r="K1014" s="12">
        <v>28</v>
      </c>
      <c r="L1014" s="4">
        <v>254.23</v>
      </c>
      <c r="M1014" s="5">
        <v>69</v>
      </c>
      <c r="N1014" s="5">
        <v>66</v>
      </c>
      <c r="O1014" s="5">
        <v>0</v>
      </c>
      <c r="P1014" s="5">
        <v>15.974576271186441</v>
      </c>
    </row>
    <row r="1015" spans="1:16">
      <c r="A1015" s="1" t="s">
        <v>1030</v>
      </c>
      <c r="B1015" s="1" t="s">
        <v>993</v>
      </c>
      <c r="C1015" s="1">
        <v>1996</v>
      </c>
      <c r="D1015" s="1" t="s">
        <v>1717</v>
      </c>
      <c r="E1015" s="17">
        <v>35199</v>
      </c>
      <c r="F1015" s="18" t="str">
        <f t="shared" si="15"/>
        <v>PEPE1996_Mayo</v>
      </c>
      <c r="G1015" s="1" t="s">
        <v>1419</v>
      </c>
      <c r="H1015" s="3">
        <v>3.8343333333333334</v>
      </c>
      <c r="I1015" s="3">
        <v>-77.468000000000004</v>
      </c>
      <c r="J1015" s="12">
        <v>23</v>
      </c>
      <c r="K1015" s="12">
        <v>28.5</v>
      </c>
      <c r="L1015" s="4">
        <v>272.02999999999997</v>
      </c>
      <c r="M1015" s="5">
        <v>20</v>
      </c>
      <c r="N1015" s="5">
        <v>537</v>
      </c>
      <c r="O1015" s="5">
        <v>0</v>
      </c>
      <c r="P1015" s="5">
        <v>0</v>
      </c>
    </row>
    <row r="1016" spans="1:16">
      <c r="A1016" s="1" t="s">
        <v>1031</v>
      </c>
      <c r="B1016" s="1" t="s">
        <v>993</v>
      </c>
      <c r="C1016" s="1">
        <v>1996</v>
      </c>
      <c r="D1016" s="1" t="s">
        <v>1717</v>
      </c>
      <c r="E1016" s="17">
        <v>35208</v>
      </c>
      <c r="F1016" s="18" t="str">
        <f t="shared" si="15"/>
        <v>PEPE1996_Mayo</v>
      </c>
      <c r="G1016" s="1" t="s">
        <v>1420</v>
      </c>
      <c r="H1016" s="3">
        <v>3.8340000000000001</v>
      </c>
      <c r="I1016" s="3">
        <v>-77.601333333333329</v>
      </c>
      <c r="J1016" s="12">
        <v>25</v>
      </c>
      <c r="K1016" s="12">
        <v>28</v>
      </c>
      <c r="L1016" s="4">
        <v>216.76</v>
      </c>
      <c r="M1016" s="5">
        <v>59</v>
      </c>
      <c r="N1016" s="5">
        <v>921</v>
      </c>
      <c r="O1016" s="5">
        <v>0</v>
      </c>
      <c r="P1016" s="5">
        <v>19.595375722543352</v>
      </c>
    </row>
    <row r="1017" spans="1:16">
      <c r="A1017" s="1" t="s">
        <v>1032</v>
      </c>
      <c r="B1017" s="1" t="s">
        <v>993</v>
      </c>
      <c r="C1017" s="1">
        <v>1996</v>
      </c>
      <c r="D1017" s="1" t="s">
        <v>1717</v>
      </c>
      <c r="E1017" s="17">
        <v>35209</v>
      </c>
      <c r="F1017" s="18" t="str">
        <f t="shared" si="15"/>
        <v>PEPE1996_Mayo</v>
      </c>
      <c r="G1017" s="1" t="s">
        <v>1516</v>
      </c>
      <c r="H1017" s="3">
        <v>3.8328333333333333</v>
      </c>
      <c r="I1017" s="3">
        <v>-77.764833333333328</v>
      </c>
      <c r="J1017" s="12">
        <v>28</v>
      </c>
      <c r="K1017" s="12">
        <v>27.9</v>
      </c>
      <c r="L1017" s="4">
        <v>213.01</v>
      </c>
      <c r="M1017" s="5">
        <v>305</v>
      </c>
      <c r="N1017" s="5">
        <v>915</v>
      </c>
      <c r="O1017" s="5">
        <v>0</v>
      </c>
      <c r="P1017" s="5">
        <v>24.394933793897525</v>
      </c>
    </row>
    <row r="1018" spans="1:16">
      <c r="A1018" s="1" t="s">
        <v>1033</v>
      </c>
      <c r="B1018" s="1" t="s">
        <v>993</v>
      </c>
      <c r="C1018" s="1">
        <v>1996</v>
      </c>
      <c r="D1018" s="1" t="s">
        <v>1717</v>
      </c>
      <c r="E1018" s="17">
        <v>35209</v>
      </c>
      <c r="F1018" s="18" t="str">
        <f t="shared" si="15"/>
        <v>PEPE1996_Mayo</v>
      </c>
      <c r="G1018" s="1" t="s">
        <v>1424</v>
      </c>
      <c r="H1018" s="3">
        <v>3.6661666666666668</v>
      </c>
      <c r="I1018" s="3">
        <v>-77.332499999999996</v>
      </c>
      <c r="J1018" s="12">
        <v>23</v>
      </c>
      <c r="K1018" s="12">
        <v>28</v>
      </c>
      <c r="L1018" s="4">
        <v>189.96</v>
      </c>
      <c r="M1018" s="5">
        <v>103</v>
      </c>
      <c r="N1018" s="5">
        <v>11</v>
      </c>
      <c r="O1018" s="5">
        <v>0.9027355623100306</v>
      </c>
      <c r="P1018" s="5">
        <v>2.708206686930092</v>
      </c>
    </row>
    <row r="1019" spans="1:16">
      <c r="A1019" s="1" t="s">
        <v>1034</v>
      </c>
      <c r="B1019" s="1" t="s">
        <v>993</v>
      </c>
      <c r="C1019" s="1">
        <v>1996</v>
      </c>
      <c r="D1019" s="1" t="s">
        <v>1717</v>
      </c>
      <c r="E1019" s="17">
        <v>35209</v>
      </c>
      <c r="F1019" s="18" t="str">
        <f t="shared" si="15"/>
        <v>PEPE1996_Mayo</v>
      </c>
      <c r="G1019" s="1" t="s">
        <v>1425</v>
      </c>
      <c r="H1019" s="3">
        <v>3.6656666666666666</v>
      </c>
      <c r="I1019" s="3">
        <v>-77.499499999999998</v>
      </c>
      <c r="J1019" s="12">
        <v>25</v>
      </c>
      <c r="K1019" s="12">
        <v>28</v>
      </c>
      <c r="L1019" s="4">
        <v>259</v>
      </c>
      <c r="M1019" s="5">
        <v>6</v>
      </c>
      <c r="N1019" s="5">
        <v>753</v>
      </c>
      <c r="O1019" s="5">
        <v>0</v>
      </c>
      <c r="P1019" s="5">
        <v>18.222972972972972</v>
      </c>
    </row>
    <row r="1020" spans="1:16">
      <c r="A1020" s="1" t="s">
        <v>1035</v>
      </c>
      <c r="B1020" s="1" t="s">
        <v>993</v>
      </c>
      <c r="C1020" s="1">
        <v>1996</v>
      </c>
      <c r="D1020" s="1" t="s">
        <v>1717</v>
      </c>
      <c r="E1020" s="17">
        <v>35209</v>
      </c>
      <c r="F1020" s="18" t="str">
        <f t="shared" si="15"/>
        <v>PEPE1996_Mayo</v>
      </c>
      <c r="G1020" s="1" t="s">
        <v>1648</v>
      </c>
      <c r="H1020" s="3">
        <v>3.4975000000000001</v>
      </c>
      <c r="I1020" s="3">
        <v>-77.451999999999998</v>
      </c>
      <c r="J1020" s="12">
        <v>25</v>
      </c>
      <c r="K1020" s="12">
        <v>28</v>
      </c>
      <c r="L1020" s="4">
        <v>376.5</v>
      </c>
      <c r="M1020" s="5">
        <v>34</v>
      </c>
      <c r="N1020" s="5">
        <v>96</v>
      </c>
      <c r="O1020" s="5">
        <v>22.326807228915662</v>
      </c>
      <c r="P1020" s="5">
        <v>55.370481927710841</v>
      </c>
    </row>
    <row r="1021" spans="1:16">
      <c r="A1021" s="1" t="s">
        <v>1036</v>
      </c>
      <c r="B1021" s="1" t="s">
        <v>993</v>
      </c>
      <c r="C1021" s="1">
        <v>1996</v>
      </c>
      <c r="D1021" s="1" t="s">
        <v>1717</v>
      </c>
      <c r="E1021" s="17">
        <v>35209</v>
      </c>
      <c r="F1021" s="18" t="str">
        <f t="shared" si="15"/>
        <v>PEPE1996_Mayo</v>
      </c>
      <c r="G1021" s="1" t="s">
        <v>1430</v>
      </c>
      <c r="H1021" s="3">
        <v>3.4998333333333331</v>
      </c>
      <c r="I1021" s="3">
        <v>-77.668499999999995</v>
      </c>
      <c r="J1021" s="12">
        <v>27</v>
      </c>
      <c r="K1021" s="12">
        <v>28</v>
      </c>
      <c r="L1021" s="4">
        <v>261.3</v>
      </c>
      <c r="M1021" s="5">
        <v>35</v>
      </c>
      <c r="N1021" s="5">
        <v>1277</v>
      </c>
      <c r="O1021" s="5">
        <v>0</v>
      </c>
      <c r="P1021" s="5">
        <v>17.254901960784313</v>
      </c>
    </row>
    <row r="1022" spans="1:16">
      <c r="A1022" s="1" t="s">
        <v>1037</v>
      </c>
      <c r="B1022" s="1" t="s">
        <v>993</v>
      </c>
      <c r="C1022" s="1">
        <v>1996</v>
      </c>
      <c r="D1022" s="1" t="s">
        <v>1717</v>
      </c>
      <c r="E1022" s="17">
        <v>35210</v>
      </c>
      <c r="F1022" s="18" t="str">
        <f t="shared" si="15"/>
        <v>PEPE1996_Mayo</v>
      </c>
      <c r="G1022" s="1" t="s">
        <v>1678</v>
      </c>
      <c r="H1022" s="3">
        <v>3.4984999999999999</v>
      </c>
      <c r="I1022" s="3">
        <v>-77.832666666666668</v>
      </c>
      <c r="J1022" s="12">
        <v>28</v>
      </c>
      <c r="K1022" s="12">
        <v>28</v>
      </c>
      <c r="L1022" s="4">
        <v>445</v>
      </c>
      <c r="M1022" s="5">
        <v>163</v>
      </c>
      <c r="N1022" s="5">
        <v>1148</v>
      </c>
      <c r="O1022" s="5">
        <v>0</v>
      </c>
      <c r="P1022" s="5">
        <v>49.584499999999991</v>
      </c>
    </row>
    <row r="1023" spans="1:16">
      <c r="A1023" s="1" t="s">
        <v>1038</v>
      </c>
      <c r="B1023" s="1" t="s">
        <v>993</v>
      </c>
      <c r="C1023" s="1">
        <v>1996</v>
      </c>
      <c r="D1023" s="1" t="s">
        <v>1717</v>
      </c>
      <c r="E1023" s="17">
        <v>35210</v>
      </c>
      <c r="F1023" s="18" t="str">
        <f t="shared" si="15"/>
        <v>PEPE1996_Mayo</v>
      </c>
      <c r="G1023" s="1" t="s">
        <v>1650</v>
      </c>
      <c r="H1023" s="3">
        <v>3.3333333333333335</v>
      </c>
      <c r="I1023" s="3">
        <v>-77.600999999999999</v>
      </c>
      <c r="J1023" s="12">
        <v>20</v>
      </c>
      <c r="K1023" s="12">
        <v>28</v>
      </c>
      <c r="L1023" s="4">
        <v>304.44</v>
      </c>
      <c r="M1023" s="5">
        <v>10</v>
      </c>
      <c r="N1023" s="5">
        <v>1035</v>
      </c>
      <c r="O1023" s="5">
        <v>0</v>
      </c>
      <c r="P1023" s="5">
        <v>38.332552693208427</v>
      </c>
    </row>
    <row r="1024" spans="1:16">
      <c r="A1024" s="1" t="s">
        <v>1039</v>
      </c>
      <c r="B1024" s="1" t="s">
        <v>993</v>
      </c>
      <c r="C1024" s="1">
        <v>1996</v>
      </c>
      <c r="D1024" s="1" t="s">
        <v>1717</v>
      </c>
      <c r="E1024" s="17">
        <v>35210</v>
      </c>
      <c r="F1024" s="18" t="str">
        <f t="shared" si="15"/>
        <v>PEPE1996_Mayo</v>
      </c>
      <c r="G1024" s="1" t="s">
        <v>1435</v>
      </c>
      <c r="H1024" s="3">
        <v>3.3333333333333335</v>
      </c>
      <c r="I1024" s="3">
        <v>-77.796000000000006</v>
      </c>
      <c r="J1024" s="12">
        <v>34</v>
      </c>
      <c r="K1024" s="12">
        <v>28</v>
      </c>
      <c r="L1024" s="4">
        <v>310.55</v>
      </c>
      <c r="M1024" s="5">
        <v>0</v>
      </c>
      <c r="N1024" s="5">
        <v>1412</v>
      </c>
      <c r="O1024" s="1">
        <v>0</v>
      </c>
      <c r="P1024" s="5">
        <v>0</v>
      </c>
    </row>
    <row r="1025" spans="1:16">
      <c r="A1025" s="1" t="s">
        <v>1040</v>
      </c>
      <c r="B1025" s="1" t="s">
        <v>993</v>
      </c>
      <c r="C1025" s="1">
        <v>1996</v>
      </c>
      <c r="D1025" s="1" t="s">
        <v>1717</v>
      </c>
      <c r="E1025" s="17">
        <v>35211</v>
      </c>
      <c r="F1025" s="18" t="str">
        <f t="shared" si="15"/>
        <v>PEPE1996_Mayo</v>
      </c>
      <c r="G1025" s="1" t="s">
        <v>1679</v>
      </c>
      <c r="H1025" s="3">
        <v>3.1643333333333334</v>
      </c>
      <c r="I1025" s="3">
        <v>-77.702833333333331</v>
      </c>
      <c r="J1025" s="12">
        <v>27</v>
      </c>
      <c r="K1025" s="12">
        <v>26.9</v>
      </c>
      <c r="L1025" s="4">
        <v>361.27</v>
      </c>
      <c r="M1025" s="5">
        <v>645</v>
      </c>
      <c r="N1025" s="5">
        <v>811</v>
      </c>
      <c r="O1025" s="5">
        <v>40.573699421965316</v>
      </c>
      <c r="P1025" s="5">
        <v>148.77023121387282</v>
      </c>
    </row>
    <row r="1026" spans="1:16">
      <c r="A1026" s="1" t="s">
        <v>1041</v>
      </c>
      <c r="B1026" s="1" t="s">
        <v>993</v>
      </c>
      <c r="C1026" s="1">
        <v>1996</v>
      </c>
      <c r="D1026" s="1" t="s">
        <v>1717</v>
      </c>
      <c r="E1026" s="17">
        <v>35211</v>
      </c>
      <c r="F1026" s="18" t="str">
        <f t="shared" si="15"/>
        <v>PEPE1996_Mayo</v>
      </c>
      <c r="G1026" s="1" t="s">
        <v>1440</v>
      </c>
      <c r="H1026" s="3">
        <v>3.1669999999999998</v>
      </c>
      <c r="I1026" s="3">
        <v>-77.903333333333336</v>
      </c>
      <c r="J1026" s="12">
        <v>31</v>
      </c>
      <c r="K1026" s="12">
        <v>28.3</v>
      </c>
      <c r="L1026" s="4">
        <v>287.35000000000002</v>
      </c>
      <c r="M1026" s="5">
        <v>124</v>
      </c>
      <c r="N1026" s="5">
        <v>610</v>
      </c>
      <c r="O1026" s="5">
        <v>0</v>
      </c>
      <c r="P1026" s="5">
        <v>0</v>
      </c>
    </row>
    <row r="1027" spans="1:16">
      <c r="A1027" s="1" t="s">
        <v>1042</v>
      </c>
      <c r="B1027" s="1" t="s">
        <v>993</v>
      </c>
      <c r="C1027" s="1">
        <v>1996</v>
      </c>
      <c r="D1027" s="1" t="s">
        <v>1717</v>
      </c>
      <c r="E1027" s="17">
        <v>35211</v>
      </c>
      <c r="F1027" s="18" t="str">
        <f t="shared" ref="F1027:F1090" si="16">"PEPE"&amp;C1027&amp;"_"&amp;D1027</f>
        <v>PEPE1996_Mayo</v>
      </c>
      <c r="G1027" s="1" t="s">
        <v>1518</v>
      </c>
      <c r="H1027" s="3">
        <v>3.1676666666666669</v>
      </c>
      <c r="I1027" s="3">
        <v>-78.067166666666665</v>
      </c>
      <c r="J1027" s="12">
        <v>31</v>
      </c>
      <c r="K1027" s="12">
        <v>29.3</v>
      </c>
      <c r="L1027" s="4">
        <v>248.75</v>
      </c>
      <c r="M1027" s="5">
        <v>148</v>
      </c>
      <c r="N1027" s="5">
        <v>1458</v>
      </c>
      <c r="O1027" s="5">
        <v>0</v>
      </c>
      <c r="P1027" s="5">
        <v>17.460199004975124</v>
      </c>
    </row>
    <row r="1028" spans="1:16">
      <c r="A1028" s="1" t="s">
        <v>1043</v>
      </c>
      <c r="B1028" s="1" t="s">
        <v>993</v>
      </c>
      <c r="C1028" s="1">
        <v>1996</v>
      </c>
      <c r="D1028" s="1" t="s">
        <v>1717</v>
      </c>
      <c r="E1028" s="17">
        <v>35212</v>
      </c>
      <c r="F1028" s="18" t="str">
        <f t="shared" si="16"/>
        <v>PEPE1996_Mayo</v>
      </c>
      <c r="G1028" s="1" t="s">
        <v>1654</v>
      </c>
      <c r="H1028" s="3">
        <v>2.9971666666666668</v>
      </c>
      <c r="I1028" s="3">
        <v>-77.801000000000002</v>
      </c>
      <c r="J1028" s="12">
        <v>29</v>
      </c>
      <c r="K1028" s="12">
        <v>28.5</v>
      </c>
      <c r="L1028" s="4">
        <v>249.55</v>
      </c>
      <c r="M1028" s="5">
        <v>948</v>
      </c>
      <c r="N1028" s="5">
        <v>390</v>
      </c>
      <c r="O1028" s="5">
        <v>15.04812834224599</v>
      </c>
      <c r="P1028" s="5">
        <v>207.32976827094475</v>
      </c>
    </row>
    <row r="1029" spans="1:16">
      <c r="A1029" s="1" t="s">
        <v>1044</v>
      </c>
      <c r="B1029" s="1" t="s">
        <v>993</v>
      </c>
      <c r="C1029" s="1">
        <v>1996</v>
      </c>
      <c r="D1029" s="1" t="s">
        <v>1717</v>
      </c>
      <c r="E1029" s="17">
        <v>35211</v>
      </c>
      <c r="F1029" s="18" t="str">
        <f t="shared" si="16"/>
        <v>PEPE1996_Mayo</v>
      </c>
      <c r="G1029" s="1" t="s">
        <v>1445</v>
      </c>
      <c r="H1029" s="3">
        <v>2.9990000000000001</v>
      </c>
      <c r="I1029" s="3">
        <v>-78.016833333333338</v>
      </c>
      <c r="J1029" s="12">
        <v>24</v>
      </c>
      <c r="K1029" s="12">
        <v>28</v>
      </c>
      <c r="L1029" s="4">
        <v>620.34</v>
      </c>
      <c r="M1029" s="5">
        <v>10</v>
      </c>
      <c r="N1029" s="5">
        <v>594</v>
      </c>
      <c r="O1029" s="5">
        <v>0</v>
      </c>
      <c r="P1029" s="5">
        <v>3.43424317617866</v>
      </c>
    </row>
    <row r="1030" spans="1:16">
      <c r="A1030" s="1" t="s">
        <v>1045</v>
      </c>
      <c r="B1030" s="1" t="s">
        <v>993</v>
      </c>
      <c r="C1030" s="1">
        <v>1996</v>
      </c>
      <c r="D1030" s="1" t="s">
        <v>1717</v>
      </c>
      <c r="E1030" s="17">
        <v>35211</v>
      </c>
      <c r="F1030" s="18" t="str">
        <f t="shared" si="16"/>
        <v>PEPE1996_Mayo</v>
      </c>
      <c r="G1030" s="1" t="s">
        <v>1680</v>
      </c>
      <c r="H1030" s="3">
        <v>3.0190000000000001</v>
      </c>
      <c r="I1030" s="3">
        <v>-78.206833333333336</v>
      </c>
      <c r="J1030" s="12">
        <v>30</v>
      </c>
      <c r="K1030" s="12">
        <v>28.4</v>
      </c>
      <c r="L1030" s="4">
        <v>235.1</v>
      </c>
      <c r="M1030" s="5">
        <v>195</v>
      </c>
      <c r="N1030" s="5">
        <v>718</v>
      </c>
      <c r="O1030" s="5">
        <v>0</v>
      </c>
      <c r="P1030" s="5">
        <v>0</v>
      </c>
    </row>
    <row r="1031" spans="1:16">
      <c r="A1031" s="1" t="s">
        <v>1046</v>
      </c>
      <c r="B1031" s="1" t="s">
        <v>993</v>
      </c>
      <c r="C1031" s="1">
        <v>1996</v>
      </c>
      <c r="D1031" s="1" t="s">
        <v>1717</v>
      </c>
      <c r="E1031" s="17">
        <v>35211</v>
      </c>
      <c r="F1031" s="18" t="str">
        <f t="shared" si="16"/>
        <v>PEPE1996_Mayo</v>
      </c>
      <c r="G1031" s="1" t="s">
        <v>1681</v>
      </c>
      <c r="H1031" s="3">
        <v>2.8338333333333332</v>
      </c>
      <c r="I1031" s="3">
        <v>-78.165833333333339</v>
      </c>
      <c r="J1031" s="12">
        <v>24</v>
      </c>
      <c r="K1031" s="12">
        <v>28.9</v>
      </c>
      <c r="L1031" s="4">
        <v>597.6</v>
      </c>
      <c r="M1031" s="5">
        <v>15</v>
      </c>
      <c r="N1031" s="5">
        <v>207</v>
      </c>
      <c r="O1031" s="5">
        <v>0</v>
      </c>
      <c r="P1031" s="5">
        <v>1.1215139442231075</v>
      </c>
    </row>
    <row r="1032" spans="1:16">
      <c r="A1032" s="1" t="s">
        <v>1047</v>
      </c>
      <c r="B1032" s="1" t="s">
        <v>993</v>
      </c>
      <c r="C1032" s="1">
        <v>1996</v>
      </c>
      <c r="D1032" s="1" t="s">
        <v>1717</v>
      </c>
      <c r="E1032" s="17">
        <v>35211</v>
      </c>
      <c r="F1032" s="18" t="str">
        <f t="shared" si="16"/>
        <v>PEPE1996_Mayo</v>
      </c>
      <c r="G1032" s="1" t="s">
        <v>1658</v>
      </c>
      <c r="H1032" s="3">
        <v>2.8355000000000001</v>
      </c>
      <c r="I1032" s="3">
        <v>-78.3005</v>
      </c>
      <c r="J1032" s="12">
        <v>27</v>
      </c>
      <c r="K1032" s="12">
        <v>28.8</v>
      </c>
      <c r="L1032" s="4">
        <v>340.13</v>
      </c>
      <c r="M1032" s="5">
        <v>11</v>
      </c>
      <c r="N1032" s="5">
        <v>1565</v>
      </c>
      <c r="O1032" s="5">
        <v>0</v>
      </c>
      <c r="P1032" s="5">
        <v>10.573696145124716</v>
      </c>
    </row>
    <row r="1033" spans="1:16">
      <c r="A1033" s="1" t="s">
        <v>1048</v>
      </c>
      <c r="B1033" s="1" t="s">
        <v>993</v>
      </c>
      <c r="C1033" s="1">
        <v>1996</v>
      </c>
      <c r="D1033" s="1" t="s">
        <v>1717</v>
      </c>
      <c r="E1033" s="17">
        <v>35213</v>
      </c>
      <c r="F1033" s="18" t="str">
        <f t="shared" si="16"/>
        <v>PEPE1996_Mayo</v>
      </c>
      <c r="G1033" s="1" t="s">
        <v>1682</v>
      </c>
      <c r="H1033" s="3">
        <v>2.7001666666666666</v>
      </c>
      <c r="I1033" s="3">
        <v>-78.420500000000004</v>
      </c>
      <c r="J1033" s="12">
        <v>29</v>
      </c>
      <c r="K1033" s="12">
        <v>28</v>
      </c>
      <c r="L1033" s="4">
        <v>347.39</v>
      </c>
      <c r="M1033" s="5">
        <v>100</v>
      </c>
      <c r="N1033" s="5">
        <v>386</v>
      </c>
      <c r="O1033" s="5">
        <v>0</v>
      </c>
      <c r="P1033" s="5">
        <v>18.253101736972706</v>
      </c>
    </row>
    <row r="1034" spans="1:16">
      <c r="A1034" s="1" t="s">
        <v>1049</v>
      </c>
      <c r="B1034" s="1" t="s">
        <v>993</v>
      </c>
      <c r="C1034" s="1">
        <v>1996</v>
      </c>
      <c r="D1034" s="1" t="s">
        <v>1717</v>
      </c>
      <c r="E1034" s="17">
        <v>35214</v>
      </c>
      <c r="F1034" s="18" t="str">
        <f t="shared" si="16"/>
        <v>PEPE1996_Mayo</v>
      </c>
      <c r="G1034" s="1" t="s">
        <v>1454</v>
      </c>
      <c r="H1034" s="3">
        <v>2.6653333333333333</v>
      </c>
      <c r="I1034" s="3">
        <v>-78.633499999999998</v>
      </c>
      <c r="J1034" s="12">
        <v>32</v>
      </c>
      <c r="K1034" s="12">
        <v>27.7</v>
      </c>
      <c r="L1034" s="4">
        <v>371.47</v>
      </c>
      <c r="M1034" s="5">
        <v>122</v>
      </c>
      <c r="N1034" s="5">
        <v>1811</v>
      </c>
      <c r="O1034" s="5">
        <v>0</v>
      </c>
      <c r="P1034" s="5">
        <v>0</v>
      </c>
    </row>
    <row r="1035" spans="1:16">
      <c r="A1035" s="1" t="s">
        <v>1050</v>
      </c>
      <c r="B1035" s="1" t="s">
        <v>993</v>
      </c>
      <c r="C1035" s="1">
        <v>1996</v>
      </c>
      <c r="D1035" s="1" t="s">
        <v>1717</v>
      </c>
      <c r="E1035" s="17">
        <v>35214</v>
      </c>
      <c r="F1035" s="18" t="str">
        <f t="shared" si="16"/>
        <v>PEPE1996_Mayo</v>
      </c>
      <c r="G1035" s="1" t="s">
        <v>1683</v>
      </c>
      <c r="H1035" s="3">
        <v>2.5024999999999999</v>
      </c>
      <c r="I1035" s="3">
        <v>-78.597499999999997</v>
      </c>
      <c r="J1035" s="12">
        <v>29</v>
      </c>
      <c r="K1035" s="12">
        <v>28.2</v>
      </c>
      <c r="L1035" s="4">
        <v>464.19</v>
      </c>
      <c r="M1035" s="5">
        <v>141</v>
      </c>
      <c r="N1035" s="5">
        <v>229</v>
      </c>
      <c r="O1035" s="5">
        <v>22.049071618037136</v>
      </c>
      <c r="P1035" s="5">
        <v>13.22944297082228</v>
      </c>
    </row>
    <row r="1036" spans="1:16">
      <c r="A1036" s="1" t="s">
        <v>1051</v>
      </c>
      <c r="B1036" s="1" t="s">
        <v>993</v>
      </c>
      <c r="C1036" s="1">
        <v>1996</v>
      </c>
      <c r="D1036" s="1" t="s">
        <v>1717</v>
      </c>
      <c r="E1036" s="17">
        <v>35214</v>
      </c>
      <c r="F1036" s="18" t="str">
        <f t="shared" si="16"/>
        <v>PEPE1996_Mayo</v>
      </c>
      <c r="G1036" s="1" t="s">
        <v>1459</v>
      </c>
      <c r="H1036" s="3">
        <v>2.5</v>
      </c>
      <c r="I1036" s="3">
        <v>-78.850999999999999</v>
      </c>
      <c r="J1036" s="12">
        <v>30</v>
      </c>
      <c r="K1036" s="12">
        <v>27.9</v>
      </c>
      <c r="L1036" s="4">
        <v>159.82</v>
      </c>
      <c r="M1036" s="5">
        <v>6896</v>
      </c>
      <c r="N1036" s="5">
        <v>2369</v>
      </c>
      <c r="O1036" s="5">
        <v>0</v>
      </c>
      <c r="P1036" s="5">
        <v>0</v>
      </c>
    </row>
    <row r="1037" spans="1:16">
      <c r="A1037" s="1" t="s">
        <v>1052</v>
      </c>
      <c r="B1037" s="1" t="s">
        <v>993</v>
      </c>
      <c r="C1037" s="1">
        <v>1996</v>
      </c>
      <c r="D1037" s="1" t="s">
        <v>1717</v>
      </c>
      <c r="E1037" s="17">
        <v>35214</v>
      </c>
      <c r="F1037" s="18" t="str">
        <f t="shared" si="16"/>
        <v>PEPE1996_Mayo</v>
      </c>
      <c r="G1037" s="1" t="s">
        <v>1664</v>
      </c>
      <c r="H1037" s="3">
        <v>2.3323333333333336</v>
      </c>
      <c r="I1037" s="3">
        <v>-78.686666666666667</v>
      </c>
      <c r="J1037" s="12">
        <v>30</v>
      </c>
      <c r="K1037" s="12">
        <v>28</v>
      </c>
      <c r="L1037" s="4">
        <v>208.33</v>
      </c>
      <c r="M1037" s="5">
        <v>1145</v>
      </c>
      <c r="N1037" s="5">
        <v>82</v>
      </c>
      <c r="O1037" s="5">
        <v>163.5</v>
      </c>
      <c r="P1037" s="5">
        <v>0</v>
      </c>
    </row>
    <row r="1038" spans="1:16">
      <c r="A1038" s="1" t="s">
        <v>1053</v>
      </c>
      <c r="B1038" s="1" t="s">
        <v>993</v>
      </c>
      <c r="C1038" s="1">
        <v>1996</v>
      </c>
      <c r="D1038" s="1" t="s">
        <v>1717</v>
      </c>
      <c r="E1038" s="17">
        <v>34848</v>
      </c>
      <c r="F1038" s="18" t="str">
        <f t="shared" si="16"/>
        <v>PEPE1996_Mayo</v>
      </c>
      <c r="G1038" s="1" t="s">
        <v>1463</v>
      </c>
      <c r="H1038" s="3">
        <v>2.3328333333333333</v>
      </c>
      <c r="I1038" s="3">
        <v>-78.783333333333331</v>
      </c>
      <c r="J1038" s="12">
        <v>30</v>
      </c>
      <c r="K1038" s="12">
        <v>28.2</v>
      </c>
      <c r="L1038" s="4">
        <v>225.22</v>
      </c>
      <c r="M1038" s="5">
        <v>245</v>
      </c>
      <c r="N1038" s="5">
        <v>1724</v>
      </c>
      <c r="O1038" s="5">
        <v>0</v>
      </c>
      <c r="P1038" s="5">
        <v>0</v>
      </c>
    </row>
    <row r="1039" spans="1:16">
      <c r="A1039" s="1" t="s">
        <v>1054</v>
      </c>
      <c r="B1039" s="1" t="s">
        <v>993</v>
      </c>
      <c r="C1039" s="1">
        <v>1996</v>
      </c>
      <c r="D1039" s="1" t="s">
        <v>1717</v>
      </c>
      <c r="E1039" s="17">
        <v>35214</v>
      </c>
      <c r="F1039" s="18" t="str">
        <f t="shared" si="16"/>
        <v>PEPE1996_Mayo</v>
      </c>
      <c r="G1039" s="1" t="s">
        <v>1466</v>
      </c>
      <c r="H1039" s="3">
        <v>2.1861666666666668</v>
      </c>
      <c r="I1039" s="3">
        <v>-78.761499999999998</v>
      </c>
      <c r="J1039" s="12">
        <v>30</v>
      </c>
      <c r="K1039" s="12">
        <v>28.1</v>
      </c>
      <c r="L1039" s="4">
        <v>356.29</v>
      </c>
      <c r="M1039" s="5">
        <v>151</v>
      </c>
      <c r="N1039" s="5">
        <v>3543</v>
      </c>
      <c r="O1039" s="5">
        <v>23.235154394299286</v>
      </c>
      <c r="P1039" s="5">
        <v>69.705463182897859</v>
      </c>
    </row>
    <row r="1040" spans="1:16">
      <c r="A1040" s="1" t="s">
        <v>1055</v>
      </c>
      <c r="B1040" s="1" t="s">
        <v>993</v>
      </c>
      <c r="C1040" s="1">
        <v>1996</v>
      </c>
      <c r="D1040" s="1" t="s">
        <v>1717</v>
      </c>
      <c r="E1040" s="17">
        <v>35215</v>
      </c>
      <c r="F1040" s="18" t="str">
        <f t="shared" si="16"/>
        <v>PEPE1996_Mayo</v>
      </c>
      <c r="G1040" s="1" t="s">
        <v>1468</v>
      </c>
      <c r="H1040" s="3">
        <v>2.1683333333333334</v>
      </c>
      <c r="I1040" s="3">
        <v>-78.849333333333334</v>
      </c>
      <c r="J1040" s="12">
        <v>30</v>
      </c>
      <c r="K1040" s="12">
        <v>29.9</v>
      </c>
      <c r="L1040" s="4">
        <v>140.05000000000001</v>
      </c>
      <c r="M1040" s="5">
        <v>368</v>
      </c>
      <c r="N1040" s="5">
        <v>1738</v>
      </c>
      <c r="O1040" s="5">
        <v>0</v>
      </c>
      <c r="P1040" s="5">
        <v>0</v>
      </c>
    </row>
    <row r="1041" spans="1:16">
      <c r="A1041" s="1" t="s">
        <v>1056</v>
      </c>
      <c r="B1041" s="1" t="s">
        <v>993</v>
      </c>
      <c r="C1041" s="1">
        <v>1996</v>
      </c>
      <c r="D1041" s="1" t="s">
        <v>1717</v>
      </c>
      <c r="E1041" s="17">
        <v>35215</v>
      </c>
      <c r="F1041" s="18" t="str">
        <f t="shared" si="16"/>
        <v>PEPE1996_Mayo</v>
      </c>
      <c r="G1041" s="1" t="s">
        <v>1472</v>
      </c>
      <c r="H1041" s="3">
        <v>2.0041666666666669</v>
      </c>
      <c r="I1041" s="3">
        <v>-78.762333333333331</v>
      </c>
      <c r="J1041" s="12">
        <v>30</v>
      </c>
      <c r="K1041" s="12">
        <v>28</v>
      </c>
      <c r="L1041" s="4">
        <v>504.45</v>
      </c>
      <c r="M1041" s="5">
        <v>125</v>
      </c>
      <c r="N1041" s="5">
        <v>409</v>
      </c>
      <c r="O1041" s="5">
        <v>22.70623145400593</v>
      </c>
      <c r="P1041" s="5">
        <v>0</v>
      </c>
    </row>
    <row r="1042" spans="1:16">
      <c r="A1042" s="1" t="s">
        <v>1057</v>
      </c>
      <c r="B1042" s="1" t="s">
        <v>993</v>
      </c>
      <c r="C1042" s="1">
        <v>1996</v>
      </c>
      <c r="D1042" s="1" t="s">
        <v>1717</v>
      </c>
      <c r="E1042" s="17">
        <v>35215</v>
      </c>
      <c r="F1042" s="18" t="str">
        <f t="shared" si="16"/>
        <v>PEPE1996_Mayo</v>
      </c>
      <c r="G1042" s="1" t="s">
        <v>1477</v>
      </c>
      <c r="H1042" s="3">
        <v>1.8373333333333335</v>
      </c>
      <c r="I1042" s="3">
        <v>-78.901666666666671</v>
      </c>
      <c r="J1042" s="12">
        <v>29</v>
      </c>
      <c r="K1042" s="12">
        <v>27.8</v>
      </c>
      <c r="L1042" s="4">
        <v>423.07</v>
      </c>
      <c r="M1042" s="5">
        <v>135</v>
      </c>
      <c r="N1042" s="5">
        <v>2117</v>
      </c>
      <c r="O1042" s="5">
        <v>0</v>
      </c>
      <c r="P1042" s="5">
        <v>0</v>
      </c>
    </row>
    <row r="1043" spans="1:16">
      <c r="A1043" s="1" t="s">
        <v>1058</v>
      </c>
      <c r="B1043" s="1" t="s">
        <v>993</v>
      </c>
      <c r="C1043" s="1">
        <v>1996</v>
      </c>
      <c r="D1043" s="1" t="s">
        <v>1717</v>
      </c>
      <c r="E1043" s="17">
        <v>35216</v>
      </c>
      <c r="F1043" s="18" t="str">
        <f t="shared" si="16"/>
        <v>PEPE1996_Mayo</v>
      </c>
      <c r="G1043" s="1" t="s">
        <v>1668</v>
      </c>
      <c r="H1043" s="3">
        <v>1.6935</v>
      </c>
      <c r="I1043" s="3">
        <v>-79.054333333333332</v>
      </c>
      <c r="J1043" s="12">
        <v>28</v>
      </c>
      <c r="K1043" s="12">
        <v>28.3</v>
      </c>
      <c r="L1043" s="4">
        <v>207.22</v>
      </c>
      <c r="M1043" s="5">
        <v>220</v>
      </c>
      <c r="N1043" s="5">
        <v>5778</v>
      </c>
      <c r="O1043" s="5">
        <v>18.313795145056243</v>
      </c>
      <c r="P1043" s="5">
        <v>36.627590290112487</v>
      </c>
    </row>
    <row r="1044" spans="1:16">
      <c r="A1044" s="1" t="s">
        <v>1059</v>
      </c>
      <c r="B1044" s="1" t="s">
        <v>993</v>
      </c>
      <c r="C1044" s="1">
        <v>1996</v>
      </c>
      <c r="D1044" s="1" t="s">
        <v>1717</v>
      </c>
      <c r="E1044" s="17">
        <v>35216</v>
      </c>
      <c r="F1044" s="18" t="str">
        <f t="shared" si="16"/>
        <v>PEPE1996_Mayo</v>
      </c>
      <c r="G1044" s="1" t="s">
        <v>1578</v>
      </c>
      <c r="H1044" s="3">
        <v>1.6701666666666668</v>
      </c>
      <c r="I1044" s="3">
        <v>-79.167666666666662</v>
      </c>
      <c r="J1044" s="12">
        <v>30</v>
      </c>
      <c r="K1044" s="12">
        <v>28.2</v>
      </c>
      <c r="L1044" s="4">
        <v>182.23</v>
      </c>
      <c r="M1044" s="5">
        <v>517</v>
      </c>
      <c r="N1044" s="5">
        <v>1206</v>
      </c>
      <c r="O1044" s="5">
        <v>0</v>
      </c>
      <c r="P1044" s="5">
        <v>0</v>
      </c>
    </row>
    <row r="1045" spans="1:16">
      <c r="A1045" s="1" t="s">
        <v>1060</v>
      </c>
      <c r="B1045" s="1" t="s">
        <v>993</v>
      </c>
      <c r="C1045" s="1">
        <v>1996</v>
      </c>
      <c r="D1045" s="1" t="s">
        <v>1717</v>
      </c>
      <c r="E1045" s="17">
        <v>35216</v>
      </c>
      <c r="F1045" s="18" t="str">
        <f t="shared" si="16"/>
        <v>PEPE1996_Mayo</v>
      </c>
      <c r="G1045" s="1" t="s">
        <v>1684</v>
      </c>
      <c r="H1045" s="3">
        <v>1.5361666666666667</v>
      </c>
      <c r="I1045" s="3">
        <v>-79.034333333333336</v>
      </c>
      <c r="J1045" s="12">
        <v>25</v>
      </c>
      <c r="K1045" s="12">
        <v>28</v>
      </c>
      <c r="L1045" s="4">
        <v>273.72000000000003</v>
      </c>
      <c r="M1045" s="5">
        <v>208</v>
      </c>
      <c r="N1045" s="5">
        <v>930</v>
      </c>
      <c r="O1045" s="5">
        <v>92.277372262773724</v>
      </c>
      <c r="P1045" s="5">
        <v>30.759124087591239</v>
      </c>
    </row>
    <row r="1046" spans="1:16">
      <c r="A1046" s="1" t="s">
        <v>1061</v>
      </c>
      <c r="B1046" s="1" t="s">
        <v>993</v>
      </c>
      <c r="C1046" s="1">
        <v>1996</v>
      </c>
      <c r="D1046" s="1" t="s">
        <v>1717</v>
      </c>
      <c r="E1046" s="17">
        <v>35216</v>
      </c>
      <c r="F1046" s="18" t="str">
        <f t="shared" si="16"/>
        <v>PEPE1996_Mayo</v>
      </c>
      <c r="G1046" s="1" t="s">
        <v>1581</v>
      </c>
      <c r="H1046" s="3">
        <v>1.5013333333333332</v>
      </c>
      <c r="I1046" s="3">
        <v>-79.168166666666664</v>
      </c>
      <c r="J1046" s="12">
        <v>30</v>
      </c>
      <c r="K1046" s="12">
        <v>27.7</v>
      </c>
      <c r="L1046" s="4">
        <v>240.54</v>
      </c>
      <c r="M1046" s="5">
        <v>207</v>
      </c>
      <c r="N1046" s="5">
        <v>3984</v>
      </c>
      <c r="O1046" s="5">
        <v>29.513745704467354</v>
      </c>
      <c r="P1046" s="5">
        <v>44.270618556701031</v>
      </c>
    </row>
    <row r="1047" spans="1:16">
      <c r="A1047" s="1" t="s">
        <v>1062</v>
      </c>
      <c r="B1047" s="1" t="s">
        <v>993</v>
      </c>
      <c r="C1047" s="1">
        <v>1996</v>
      </c>
      <c r="D1047" s="1" t="s">
        <v>1717</v>
      </c>
      <c r="E1047" s="17">
        <v>35202</v>
      </c>
      <c r="F1047" s="18" t="str">
        <f t="shared" si="16"/>
        <v>PEPE1996_Mayo</v>
      </c>
      <c r="G1047" s="1" t="s">
        <v>1538</v>
      </c>
      <c r="H1047" s="3">
        <v>6.5</v>
      </c>
      <c r="I1047" s="3">
        <v>-77.533166666666673</v>
      </c>
      <c r="J1047" s="12">
        <v>30</v>
      </c>
      <c r="K1047" s="12">
        <v>28.5</v>
      </c>
      <c r="L1047" s="4">
        <v>233.19</v>
      </c>
      <c r="M1047" s="5">
        <v>34</v>
      </c>
      <c r="N1047" s="5">
        <v>247</v>
      </c>
      <c r="O1047" s="5">
        <v>0</v>
      </c>
      <c r="P1047" s="5">
        <v>0</v>
      </c>
    </row>
    <row r="1048" spans="1:16">
      <c r="A1048" s="1" t="s">
        <v>1063</v>
      </c>
      <c r="B1048" s="1" t="s">
        <v>993</v>
      </c>
      <c r="C1048" s="1">
        <v>1996</v>
      </c>
      <c r="D1048" s="1" t="s">
        <v>1717</v>
      </c>
      <c r="E1048" s="17">
        <v>35202</v>
      </c>
      <c r="F1048" s="18" t="str">
        <f t="shared" si="16"/>
        <v>PEPE1996_Mayo</v>
      </c>
      <c r="G1048" s="1" t="s">
        <v>1539</v>
      </c>
      <c r="H1048" s="3">
        <v>6.346166666666667</v>
      </c>
      <c r="I1048" s="3">
        <v>-77.543499999999995</v>
      </c>
      <c r="J1048" s="12">
        <v>26</v>
      </c>
      <c r="K1048" s="12">
        <v>29.5</v>
      </c>
      <c r="L1048" s="4">
        <v>30.51</v>
      </c>
      <c r="M1048" s="5">
        <v>12</v>
      </c>
      <c r="N1048" s="5">
        <v>37</v>
      </c>
      <c r="O1048" s="5">
        <v>0</v>
      </c>
      <c r="P1048" s="5">
        <v>0</v>
      </c>
    </row>
    <row r="1049" spans="1:16">
      <c r="A1049" s="1" t="s">
        <v>1064</v>
      </c>
      <c r="B1049" s="1" t="s">
        <v>993</v>
      </c>
      <c r="C1049" s="1">
        <v>1996</v>
      </c>
      <c r="D1049" s="1" t="s">
        <v>1717</v>
      </c>
      <c r="E1049" s="17">
        <v>35206</v>
      </c>
      <c r="F1049" s="18" t="str">
        <f t="shared" si="16"/>
        <v>PEPE1996_Mayo</v>
      </c>
      <c r="G1049" s="1" t="s">
        <v>1395</v>
      </c>
      <c r="H1049" s="3">
        <v>4.6506666666666669</v>
      </c>
      <c r="I1049" s="3">
        <v>-77.468166666666662</v>
      </c>
      <c r="J1049" s="12">
        <v>26</v>
      </c>
      <c r="K1049" s="12">
        <v>28.5</v>
      </c>
      <c r="L1049" s="4">
        <v>221.8</v>
      </c>
      <c r="M1049" s="5">
        <v>62</v>
      </c>
      <c r="N1049" s="5">
        <v>771</v>
      </c>
      <c r="O1049" s="5">
        <v>8.8595194085027735</v>
      </c>
      <c r="P1049" s="5">
        <v>8.8595194085027735</v>
      </c>
    </row>
    <row r="1050" spans="1:16">
      <c r="A1050" s="1" t="s">
        <v>1065</v>
      </c>
      <c r="B1050" s="1" t="s">
        <v>993</v>
      </c>
      <c r="C1050" s="1">
        <v>1996</v>
      </c>
      <c r="D1050" s="1" t="s">
        <v>1717</v>
      </c>
      <c r="E1050" s="17">
        <v>35207</v>
      </c>
      <c r="F1050" s="18" t="str">
        <f t="shared" si="16"/>
        <v>PEPE1996_Mayo</v>
      </c>
      <c r="G1050" s="1" t="s">
        <v>1400</v>
      </c>
      <c r="H1050" s="3">
        <v>4.5093333333333332</v>
      </c>
      <c r="I1050" s="3">
        <v>-77.502833333333328</v>
      </c>
      <c r="J1050" s="12">
        <v>25</v>
      </c>
      <c r="K1050" s="12">
        <v>27.4</v>
      </c>
      <c r="L1050" s="4">
        <v>275.04000000000002</v>
      </c>
      <c r="M1050" s="5">
        <v>261</v>
      </c>
      <c r="N1050" s="5">
        <v>209</v>
      </c>
      <c r="O1050" s="5">
        <v>0</v>
      </c>
      <c r="P1050" s="5">
        <v>8.697445972495089</v>
      </c>
    </row>
    <row r="1051" spans="1:16">
      <c r="A1051" s="1" t="s">
        <v>1066</v>
      </c>
      <c r="B1051" s="1" t="s">
        <v>993</v>
      </c>
      <c r="C1051" s="1">
        <v>1996</v>
      </c>
      <c r="D1051" s="1" t="s">
        <v>1717</v>
      </c>
      <c r="E1051" s="17">
        <v>35209</v>
      </c>
      <c r="F1051" s="18" t="str">
        <f t="shared" si="16"/>
        <v>PEPE1996_Mayo</v>
      </c>
      <c r="G1051" s="1" t="s">
        <v>1685</v>
      </c>
      <c r="H1051" s="3">
        <v>3.6675</v>
      </c>
      <c r="I1051" s="3">
        <v>-77.668666666666667</v>
      </c>
      <c r="J1051" s="12">
        <v>24</v>
      </c>
      <c r="K1051" s="12">
        <v>28</v>
      </c>
      <c r="L1051" s="4">
        <v>130.80000000000001</v>
      </c>
      <c r="M1051" s="5">
        <v>70</v>
      </c>
      <c r="N1051" s="5">
        <v>238</v>
      </c>
      <c r="O1051" s="5">
        <v>0</v>
      </c>
      <c r="P1051" s="5">
        <v>0</v>
      </c>
    </row>
    <row r="1052" spans="1:16">
      <c r="A1052" s="1" t="s">
        <v>1067</v>
      </c>
      <c r="B1052" s="1" t="s">
        <v>993</v>
      </c>
      <c r="C1052" s="1">
        <v>1996</v>
      </c>
      <c r="D1052" s="1" t="s">
        <v>1717</v>
      </c>
      <c r="E1052" s="17">
        <v>35210</v>
      </c>
      <c r="F1052" s="18" t="str">
        <f t="shared" si="16"/>
        <v>PEPE1996_Mayo</v>
      </c>
      <c r="G1052" s="1" t="s">
        <v>1517</v>
      </c>
      <c r="H1052" s="3">
        <v>3.3341666666666665</v>
      </c>
      <c r="I1052" s="3">
        <v>-77.967500000000001</v>
      </c>
      <c r="J1052" s="12">
        <v>32</v>
      </c>
      <c r="K1052" s="12">
        <v>28</v>
      </c>
      <c r="L1052" s="4">
        <v>267.8</v>
      </c>
      <c r="M1052" s="5">
        <v>100</v>
      </c>
      <c r="N1052" s="5">
        <v>1012</v>
      </c>
      <c r="O1052" s="5">
        <v>0</v>
      </c>
      <c r="P1052" s="5">
        <v>0</v>
      </c>
    </row>
    <row r="1053" spans="1:16" s="19" customFormat="1">
      <c r="A1053" s="19" t="s">
        <v>1068</v>
      </c>
      <c r="B1053" s="19" t="s">
        <v>993</v>
      </c>
      <c r="C1053" s="19">
        <v>1996</v>
      </c>
      <c r="D1053" s="19" t="s">
        <v>1717</v>
      </c>
      <c r="E1053" s="18">
        <v>35214</v>
      </c>
      <c r="F1053" s="18" t="str">
        <f t="shared" si="16"/>
        <v>PEPE1996_Mayo</v>
      </c>
      <c r="G1053" s="19" t="s">
        <v>1686</v>
      </c>
      <c r="H1053" s="21">
        <v>2.8336666666666668</v>
      </c>
      <c r="I1053" s="21">
        <v>-78.55116666666666</v>
      </c>
      <c r="J1053" s="22">
        <v>31</v>
      </c>
      <c r="K1053" s="22">
        <v>27.9</v>
      </c>
      <c r="L1053" s="23">
        <v>303</v>
      </c>
      <c r="M1053" s="24">
        <v>105</v>
      </c>
      <c r="N1053" s="24">
        <v>253</v>
      </c>
      <c r="O1053" s="24">
        <v>0</v>
      </c>
      <c r="P1053" s="24">
        <v>3.0138888888888888</v>
      </c>
    </row>
    <row r="1054" spans="1:16">
      <c r="A1054" s="1" t="s">
        <v>1069</v>
      </c>
      <c r="B1054" s="1" t="s">
        <v>993</v>
      </c>
      <c r="C1054" s="1">
        <v>1996</v>
      </c>
      <c r="D1054" s="1" t="s">
        <v>1717</v>
      </c>
      <c r="E1054" s="17">
        <v>35214</v>
      </c>
      <c r="F1054" s="18" t="str">
        <f t="shared" si="16"/>
        <v>PEPE1996_Mayo</v>
      </c>
      <c r="G1054" s="1" t="s">
        <v>1687</v>
      </c>
      <c r="H1054" s="3">
        <v>2.6676666666666669</v>
      </c>
      <c r="I1054" s="3">
        <v>-78.799833333333339</v>
      </c>
      <c r="J1054" s="12">
        <v>34</v>
      </c>
      <c r="K1054" s="12">
        <v>27.9</v>
      </c>
      <c r="L1054" s="4">
        <v>242.1</v>
      </c>
      <c r="M1054" s="5">
        <v>35</v>
      </c>
      <c r="N1054" s="5">
        <v>202</v>
      </c>
      <c r="O1054" s="5">
        <v>0</v>
      </c>
      <c r="P1054" s="5">
        <v>3.4903147699757868</v>
      </c>
    </row>
    <row r="1055" spans="1:16">
      <c r="A1055" s="1" t="s">
        <v>1070</v>
      </c>
      <c r="B1055" s="1" t="s">
        <v>993</v>
      </c>
      <c r="C1055" s="1">
        <v>1996</v>
      </c>
      <c r="D1055" s="1" t="s">
        <v>1717</v>
      </c>
      <c r="E1055" s="17">
        <v>35215</v>
      </c>
      <c r="F1055" s="18" t="str">
        <f t="shared" si="16"/>
        <v>PEPE1996_Mayo</v>
      </c>
      <c r="G1055" s="1" t="s">
        <v>1473</v>
      </c>
      <c r="H1055" s="3">
        <v>2.0019999999999998</v>
      </c>
      <c r="I1055" s="3">
        <v>-78.815333333333328</v>
      </c>
      <c r="J1055" s="12">
        <v>30</v>
      </c>
      <c r="K1055" s="12">
        <v>27.8</v>
      </c>
      <c r="L1055" s="4">
        <v>712.2</v>
      </c>
      <c r="M1055" s="5">
        <v>140</v>
      </c>
      <c r="N1055" s="5">
        <v>371</v>
      </c>
      <c r="O1055" s="5">
        <v>0</v>
      </c>
      <c r="P1055" s="5">
        <v>0</v>
      </c>
    </row>
    <row r="1056" spans="1:16">
      <c r="A1056" s="1" t="s">
        <v>1071</v>
      </c>
      <c r="B1056" s="1" t="s">
        <v>993</v>
      </c>
      <c r="C1056" s="1">
        <v>1996</v>
      </c>
      <c r="D1056" s="1" t="s">
        <v>1717</v>
      </c>
      <c r="E1056" s="17">
        <v>35215</v>
      </c>
      <c r="F1056" s="18" t="str">
        <f t="shared" si="16"/>
        <v>PEPE1996_Mayo</v>
      </c>
      <c r="G1056" s="1" t="s">
        <v>1479</v>
      </c>
      <c r="H1056" s="3">
        <v>1.8328333333333333</v>
      </c>
      <c r="I1056" s="3">
        <v>-79.051500000000004</v>
      </c>
      <c r="J1056" s="12">
        <v>32</v>
      </c>
      <c r="K1056" s="12">
        <v>28</v>
      </c>
      <c r="L1056" s="4">
        <v>248</v>
      </c>
      <c r="M1056" s="5">
        <v>232</v>
      </c>
      <c r="N1056" s="5">
        <v>1226</v>
      </c>
      <c r="O1056" s="5">
        <v>0</v>
      </c>
      <c r="P1056" s="5">
        <v>0</v>
      </c>
    </row>
    <row r="1057" spans="1:16">
      <c r="A1057" s="1" t="s">
        <v>1072</v>
      </c>
      <c r="B1057" s="1" t="s">
        <v>993</v>
      </c>
      <c r="C1057" s="1">
        <v>1996</v>
      </c>
      <c r="D1057" s="1" t="s">
        <v>1717</v>
      </c>
      <c r="E1057" s="17">
        <v>35216</v>
      </c>
      <c r="F1057" s="18" t="str">
        <f t="shared" si="16"/>
        <v>PEPE1996_Mayo</v>
      </c>
      <c r="G1057" s="1" t="s">
        <v>1688</v>
      </c>
      <c r="H1057" s="3">
        <v>2.1003333333333334</v>
      </c>
      <c r="I1057" s="3">
        <v>-79.186000000000007</v>
      </c>
      <c r="J1057" s="12">
        <v>31</v>
      </c>
      <c r="K1057" s="12">
        <v>27.5</v>
      </c>
      <c r="L1057" s="4">
        <v>195.1</v>
      </c>
      <c r="M1057" s="5">
        <v>319</v>
      </c>
      <c r="N1057" s="5">
        <v>709</v>
      </c>
      <c r="O1057" s="5">
        <v>0</v>
      </c>
      <c r="P1057" s="5">
        <v>0</v>
      </c>
    </row>
    <row r="1058" spans="1:16">
      <c r="A1058" s="1" t="s">
        <v>1073</v>
      </c>
      <c r="B1058" s="1" t="s">
        <v>993</v>
      </c>
      <c r="C1058" s="1">
        <v>1996</v>
      </c>
      <c r="D1058" s="1" t="s">
        <v>1717</v>
      </c>
      <c r="E1058" s="17">
        <v>35216</v>
      </c>
      <c r="F1058" s="18" t="str">
        <f t="shared" si="16"/>
        <v>PEPE1996_Mayo</v>
      </c>
      <c r="G1058" s="1" t="s">
        <v>1689</v>
      </c>
      <c r="H1058" s="3">
        <v>1.7086666666666668</v>
      </c>
      <c r="I1058" s="3">
        <v>-79.69016666666667</v>
      </c>
      <c r="J1058" s="12">
        <v>34</v>
      </c>
      <c r="K1058" s="12">
        <v>27.6</v>
      </c>
      <c r="L1058" s="4">
        <v>171</v>
      </c>
      <c r="M1058" s="5">
        <v>203</v>
      </c>
      <c r="N1058" s="5">
        <v>446</v>
      </c>
      <c r="O1058" s="5">
        <v>0</v>
      </c>
      <c r="P1058" s="5">
        <v>0</v>
      </c>
    </row>
    <row r="1059" spans="1:16">
      <c r="A1059" s="1" t="s">
        <v>1062</v>
      </c>
      <c r="B1059" s="1" t="s">
        <v>993</v>
      </c>
      <c r="C1059" s="1">
        <v>1996</v>
      </c>
      <c r="D1059" s="1" t="s">
        <v>1717</v>
      </c>
      <c r="E1059" s="17">
        <v>35202</v>
      </c>
      <c r="F1059" s="18" t="str">
        <f t="shared" si="16"/>
        <v>PEPE1996_Mayo</v>
      </c>
      <c r="G1059" s="1" t="s">
        <v>1538</v>
      </c>
      <c r="H1059" s="3">
        <v>6.5</v>
      </c>
      <c r="I1059" s="3">
        <v>-77.533166666666673</v>
      </c>
      <c r="J1059" s="12">
        <v>30</v>
      </c>
      <c r="K1059" s="12">
        <v>28.5</v>
      </c>
      <c r="L1059" s="4">
        <v>173.77</v>
      </c>
      <c r="M1059" s="5">
        <v>51</v>
      </c>
      <c r="N1059" s="5">
        <v>378</v>
      </c>
      <c r="O1059" s="5">
        <v>0</v>
      </c>
      <c r="P1059" s="5">
        <v>7.270142180094787</v>
      </c>
    </row>
    <row r="1060" spans="1:16">
      <c r="A1060" s="1" t="s">
        <v>1063</v>
      </c>
      <c r="B1060" s="1" t="s">
        <v>993</v>
      </c>
      <c r="C1060" s="1">
        <v>1996</v>
      </c>
      <c r="D1060" s="1" t="s">
        <v>1717</v>
      </c>
      <c r="E1060" s="17">
        <v>35202</v>
      </c>
      <c r="F1060" s="18" t="str">
        <f t="shared" si="16"/>
        <v>PEPE1996_Mayo</v>
      </c>
      <c r="G1060" s="1" t="s">
        <v>1539</v>
      </c>
      <c r="H1060" s="3">
        <v>6.346166666666667</v>
      </c>
      <c r="I1060" s="3">
        <v>-77.543499999999995</v>
      </c>
      <c r="J1060" s="12">
        <v>26</v>
      </c>
      <c r="K1060" s="12">
        <v>29.5</v>
      </c>
      <c r="L1060" s="4">
        <v>158.16999999999999</v>
      </c>
      <c r="M1060" s="5">
        <v>131</v>
      </c>
      <c r="N1060" s="5">
        <v>656</v>
      </c>
      <c r="O1060" s="5">
        <v>0</v>
      </c>
      <c r="P1060" s="5">
        <v>16.400702987697716</v>
      </c>
    </row>
    <row r="1061" spans="1:16">
      <c r="A1061" s="1" t="s">
        <v>1064</v>
      </c>
      <c r="B1061" s="1" t="s">
        <v>993</v>
      </c>
      <c r="C1061" s="1">
        <v>1996</v>
      </c>
      <c r="D1061" s="1" t="s">
        <v>1717</v>
      </c>
      <c r="E1061" s="17">
        <v>35206</v>
      </c>
      <c r="F1061" s="18" t="str">
        <f t="shared" si="16"/>
        <v>PEPE1996_Mayo</v>
      </c>
      <c r="G1061" s="1" t="s">
        <v>1395</v>
      </c>
      <c r="H1061" s="3">
        <v>4.6506666666666669</v>
      </c>
      <c r="I1061" s="3">
        <v>-77.468166666666662</v>
      </c>
      <c r="J1061" s="12">
        <v>26</v>
      </c>
      <c r="K1061" s="12">
        <v>28.5</v>
      </c>
      <c r="L1061" s="4">
        <v>91</v>
      </c>
      <c r="M1061" s="5">
        <v>339</v>
      </c>
      <c r="N1061" s="5">
        <v>1654</v>
      </c>
      <c r="O1061" s="5">
        <v>0</v>
      </c>
      <c r="P1061" s="5">
        <v>0</v>
      </c>
    </row>
    <row r="1062" spans="1:16">
      <c r="A1062" s="1" t="s">
        <v>1065</v>
      </c>
      <c r="B1062" s="1" t="s">
        <v>993</v>
      </c>
      <c r="C1062" s="1">
        <v>1996</v>
      </c>
      <c r="D1062" s="1" t="s">
        <v>1717</v>
      </c>
      <c r="E1062" s="17">
        <v>35207</v>
      </c>
      <c r="F1062" s="18" t="str">
        <f t="shared" si="16"/>
        <v>PEPE1996_Mayo</v>
      </c>
      <c r="G1062" s="1" t="s">
        <v>1400</v>
      </c>
      <c r="H1062" s="3">
        <v>4.5093333333333332</v>
      </c>
      <c r="I1062" s="3">
        <v>-77.502833333333328</v>
      </c>
      <c r="J1062" s="12">
        <v>25</v>
      </c>
      <c r="K1062" s="12">
        <v>27.4</v>
      </c>
      <c r="L1062" s="4">
        <v>422.53</v>
      </c>
      <c r="M1062" s="5">
        <v>157</v>
      </c>
      <c r="N1062" s="5">
        <v>220</v>
      </c>
      <c r="O1062" s="5">
        <v>0</v>
      </c>
      <c r="P1062" s="5">
        <v>0</v>
      </c>
    </row>
    <row r="1063" spans="1:16">
      <c r="A1063" s="1" t="s">
        <v>1066</v>
      </c>
      <c r="B1063" s="1" t="s">
        <v>993</v>
      </c>
      <c r="C1063" s="1">
        <v>1996</v>
      </c>
      <c r="D1063" s="1" t="s">
        <v>1717</v>
      </c>
      <c r="E1063" s="17">
        <v>35209</v>
      </c>
      <c r="F1063" s="18" t="str">
        <f t="shared" si="16"/>
        <v>PEPE1996_Mayo</v>
      </c>
      <c r="G1063" s="1" t="s">
        <v>1685</v>
      </c>
      <c r="H1063" s="3">
        <v>3.6675</v>
      </c>
      <c r="I1063" s="3">
        <v>-77.668666666666667</v>
      </c>
      <c r="J1063" s="12">
        <v>24</v>
      </c>
      <c r="K1063" s="12">
        <v>28</v>
      </c>
      <c r="L1063" s="4">
        <v>85.1</v>
      </c>
      <c r="M1063" s="5">
        <v>236</v>
      </c>
      <c r="N1063" s="5">
        <v>99</v>
      </c>
      <c r="O1063" s="5">
        <v>0</v>
      </c>
      <c r="P1063" s="5">
        <v>0</v>
      </c>
    </row>
    <row r="1064" spans="1:16">
      <c r="A1064" s="1" t="s">
        <v>1067</v>
      </c>
      <c r="B1064" s="1" t="s">
        <v>993</v>
      </c>
      <c r="C1064" s="1">
        <v>1996</v>
      </c>
      <c r="D1064" s="1" t="s">
        <v>1717</v>
      </c>
      <c r="E1064" s="17">
        <v>35210</v>
      </c>
      <c r="F1064" s="18" t="str">
        <f t="shared" si="16"/>
        <v>PEPE1996_Mayo</v>
      </c>
      <c r="G1064" s="1" t="s">
        <v>1517</v>
      </c>
      <c r="H1064" s="3">
        <v>3.3341666666666665</v>
      </c>
      <c r="I1064" s="3">
        <v>-77.967500000000001</v>
      </c>
      <c r="J1064" s="12">
        <v>32</v>
      </c>
      <c r="K1064" s="12">
        <v>28</v>
      </c>
      <c r="L1064" s="4">
        <v>54.6</v>
      </c>
      <c r="M1064" s="5">
        <v>0</v>
      </c>
      <c r="N1064" s="5">
        <v>251</v>
      </c>
      <c r="O1064" s="1">
        <v>0</v>
      </c>
      <c r="P1064" s="5">
        <v>0</v>
      </c>
    </row>
    <row r="1065" spans="1:16">
      <c r="A1065" s="1" t="s">
        <v>1069</v>
      </c>
      <c r="B1065" s="1" t="s">
        <v>993</v>
      </c>
      <c r="C1065" s="1">
        <v>1996</v>
      </c>
      <c r="D1065" s="1" t="s">
        <v>1717</v>
      </c>
      <c r="E1065" s="17">
        <v>34848</v>
      </c>
      <c r="F1065" s="18" t="str">
        <f t="shared" si="16"/>
        <v>PEPE1996_Mayo</v>
      </c>
      <c r="G1065" s="1" t="s">
        <v>1687</v>
      </c>
      <c r="H1065" s="3">
        <v>2.6676666666666669</v>
      </c>
      <c r="I1065" s="3">
        <v>-78.799833333333339</v>
      </c>
      <c r="J1065" s="12">
        <v>34</v>
      </c>
      <c r="K1065" s="12">
        <v>27.9</v>
      </c>
      <c r="L1065" s="4">
        <v>205.2</v>
      </c>
      <c r="M1065" s="5">
        <v>32</v>
      </c>
      <c r="N1065" s="5">
        <v>161</v>
      </c>
      <c r="O1065" s="5">
        <v>0</v>
      </c>
      <c r="P1065" s="5">
        <v>0</v>
      </c>
    </row>
    <row r="1066" spans="1:16">
      <c r="A1066" s="1" t="s">
        <v>1070</v>
      </c>
      <c r="B1066" s="1" t="s">
        <v>993</v>
      </c>
      <c r="C1066" s="1">
        <v>1996</v>
      </c>
      <c r="D1066" s="1" t="s">
        <v>1717</v>
      </c>
      <c r="E1066" s="17">
        <v>35215</v>
      </c>
      <c r="F1066" s="18" t="str">
        <f t="shared" si="16"/>
        <v>PEPE1996_Mayo</v>
      </c>
      <c r="G1066" s="1" t="s">
        <v>1473</v>
      </c>
      <c r="H1066" s="3">
        <v>2.0019999999999998</v>
      </c>
      <c r="I1066" s="3">
        <v>-78.815333333333328</v>
      </c>
      <c r="J1066" s="12">
        <v>30</v>
      </c>
      <c r="K1066" s="12">
        <v>27.8</v>
      </c>
      <c r="L1066" s="4">
        <v>253.7</v>
      </c>
      <c r="M1066" s="5">
        <v>39</v>
      </c>
      <c r="N1066" s="5">
        <v>117</v>
      </c>
      <c r="O1066" s="5">
        <v>0</v>
      </c>
      <c r="P1066" s="5">
        <v>0</v>
      </c>
    </row>
    <row r="1067" spans="1:16">
      <c r="A1067" s="1" t="s">
        <v>1071</v>
      </c>
      <c r="B1067" s="1" t="s">
        <v>993</v>
      </c>
      <c r="C1067" s="1">
        <v>1996</v>
      </c>
      <c r="D1067" s="1" t="s">
        <v>1717</v>
      </c>
      <c r="E1067" s="17">
        <v>35215</v>
      </c>
      <c r="F1067" s="18" t="str">
        <f t="shared" si="16"/>
        <v>PEPE1996_Mayo</v>
      </c>
      <c r="G1067" s="1" t="s">
        <v>1479</v>
      </c>
      <c r="H1067" s="3">
        <v>1.8328333333333333</v>
      </c>
      <c r="I1067" s="3">
        <v>-79.051500000000004</v>
      </c>
      <c r="J1067" s="12">
        <v>32</v>
      </c>
      <c r="K1067" s="12">
        <v>28</v>
      </c>
      <c r="L1067" s="4">
        <v>31.2</v>
      </c>
      <c r="M1067" s="5">
        <v>31</v>
      </c>
      <c r="N1067" s="5">
        <v>31</v>
      </c>
      <c r="O1067" s="5">
        <v>0</v>
      </c>
      <c r="P1067" s="5">
        <v>0</v>
      </c>
    </row>
    <row r="1068" spans="1:16">
      <c r="A1068" s="1" t="s">
        <v>1072</v>
      </c>
      <c r="B1068" s="1" t="s">
        <v>993</v>
      </c>
      <c r="C1068" s="1">
        <v>1996</v>
      </c>
      <c r="D1068" s="1" t="s">
        <v>1717</v>
      </c>
      <c r="E1068" s="17">
        <v>35216</v>
      </c>
      <c r="F1068" s="18" t="str">
        <f t="shared" si="16"/>
        <v>PEPE1996_Mayo</v>
      </c>
      <c r="G1068" s="1" t="s">
        <v>1688</v>
      </c>
      <c r="H1068" s="3">
        <v>2.1003333333333334</v>
      </c>
      <c r="I1068" s="3">
        <v>-79.186000000000007</v>
      </c>
      <c r="J1068" s="12">
        <v>31</v>
      </c>
      <c r="K1068" s="12">
        <v>27.5</v>
      </c>
      <c r="L1068" s="4">
        <v>69.5</v>
      </c>
      <c r="M1068" s="5">
        <v>0</v>
      </c>
      <c r="N1068" s="5">
        <v>32</v>
      </c>
      <c r="O1068" s="1">
        <v>0</v>
      </c>
      <c r="P1068" s="5">
        <v>0</v>
      </c>
    </row>
    <row r="1069" spans="1:16">
      <c r="A1069" s="1" t="s">
        <v>1073</v>
      </c>
      <c r="B1069" s="1" t="s">
        <v>993</v>
      </c>
      <c r="C1069" s="1">
        <v>1996</v>
      </c>
      <c r="D1069" s="1" t="s">
        <v>1717</v>
      </c>
      <c r="E1069" s="17">
        <v>35216</v>
      </c>
      <c r="F1069" s="18" t="str">
        <f t="shared" si="16"/>
        <v>PEPE1996_Mayo</v>
      </c>
      <c r="G1069" s="1" t="s">
        <v>1689</v>
      </c>
      <c r="H1069" s="3">
        <v>1.7086666666666668</v>
      </c>
      <c r="I1069" s="3">
        <v>-79.69016666666667</v>
      </c>
      <c r="J1069" s="12">
        <v>34</v>
      </c>
      <c r="K1069" s="12">
        <v>27.6</v>
      </c>
      <c r="L1069" s="4">
        <v>4</v>
      </c>
      <c r="M1069" s="5">
        <v>35</v>
      </c>
      <c r="N1069" s="5">
        <v>69</v>
      </c>
      <c r="O1069" s="5">
        <v>0</v>
      </c>
      <c r="P1069" s="5">
        <v>0</v>
      </c>
    </row>
    <row r="1070" spans="1:16">
      <c r="A1070" s="1" t="s">
        <v>1062</v>
      </c>
      <c r="B1070" s="1" t="s">
        <v>993</v>
      </c>
      <c r="C1070" s="1">
        <v>1996</v>
      </c>
      <c r="D1070" s="1" t="s">
        <v>1717</v>
      </c>
      <c r="E1070" s="17">
        <v>35202</v>
      </c>
      <c r="F1070" s="18" t="str">
        <f t="shared" si="16"/>
        <v>PEPE1996_Mayo</v>
      </c>
      <c r="G1070" s="1" t="s">
        <v>1538</v>
      </c>
      <c r="H1070" s="3">
        <v>6.5</v>
      </c>
      <c r="I1070" s="3">
        <v>-77.533166666666673</v>
      </c>
      <c r="J1070" s="12">
        <v>30</v>
      </c>
      <c r="K1070" s="12">
        <v>28.5</v>
      </c>
      <c r="L1070" s="4">
        <v>23.28</v>
      </c>
      <c r="M1070" s="5">
        <v>0</v>
      </c>
      <c r="N1070" s="5">
        <v>95</v>
      </c>
      <c r="O1070" s="1">
        <v>0</v>
      </c>
      <c r="P1070" s="5">
        <v>0</v>
      </c>
    </row>
    <row r="1071" spans="1:16">
      <c r="A1071" s="1" t="s">
        <v>1063</v>
      </c>
      <c r="B1071" s="1" t="s">
        <v>993</v>
      </c>
      <c r="C1071" s="1">
        <v>1996</v>
      </c>
      <c r="D1071" s="1" t="s">
        <v>1717</v>
      </c>
      <c r="E1071" s="17">
        <v>35202</v>
      </c>
      <c r="F1071" s="18" t="str">
        <f t="shared" si="16"/>
        <v>PEPE1996_Mayo</v>
      </c>
      <c r="G1071" s="1" t="s">
        <v>1539</v>
      </c>
      <c r="H1071" s="3">
        <v>6.346166666666667</v>
      </c>
      <c r="I1071" s="3">
        <v>-77.543499999999995</v>
      </c>
      <c r="J1071" s="12">
        <v>26</v>
      </c>
      <c r="K1071" s="12">
        <v>29.5</v>
      </c>
      <c r="L1071" s="4">
        <v>16.12</v>
      </c>
      <c r="M1071" s="5">
        <v>0</v>
      </c>
      <c r="N1071" s="5">
        <v>31</v>
      </c>
      <c r="O1071" s="1">
        <v>0</v>
      </c>
      <c r="P1071" s="5">
        <v>0</v>
      </c>
    </row>
    <row r="1072" spans="1:16">
      <c r="A1072" s="1" t="s">
        <v>1067</v>
      </c>
      <c r="B1072" s="1" t="s">
        <v>993</v>
      </c>
      <c r="C1072" s="1">
        <v>1996</v>
      </c>
      <c r="D1072" s="1" t="s">
        <v>1717</v>
      </c>
      <c r="E1072" s="17">
        <v>35210</v>
      </c>
      <c r="F1072" s="18" t="str">
        <f t="shared" si="16"/>
        <v>PEPE1996_Mayo</v>
      </c>
      <c r="G1072" s="1" t="s">
        <v>1517</v>
      </c>
      <c r="H1072" s="3">
        <v>3.3341666666666665</v>
      </c>
      <c r="I1072" s="3">
        <v>-77.967500000000001</v>
      </c>
      <c r="J1072" s="12">
        <v>32</v>
      </c>
      <c r="K1072" s="12">
        <v>28</v>
      </c>
      <c r="L1072" s="4">
        <v>142.30000000000001</v>
      </c>
      <c r="M1072" s="5">
        <v>76</v>
      </c>
      <c r="N1072" s="5">
        <v>428</v>
      </c>
      <c r="O1072" s="5">
        <v>0</v>
      </c>
      <c r="P1072" s="5">
        <v>0</v>
      </c>
    </row>
    <row r="1073" spans="1:16">
      <c r="A1073" s="1" t="s">
        <v>1071</v>
      </c>
      <c r="B1073" s="1" t="s">
        <v>993</v>
      </c>
      <c r="C1073" s="1">
        <v>1996</v>
      </c>
      <c r="D1073" s="1" t="s">
        <v>1717</v>
      </c>
      <c r="E1073" s="17">
        <v>35215</v>
      </c>
      <c r="F1073" s="18" t="str">
        <f t="shared" si="16"/>
        <v>PEPE1996_Mayo</v>
      </c>
      <c r="G1073" s="1" t="s">
        <v>1479</v>
      </c>
      <c r="H1073" s="3">
        <v>1.8328333333333333</v>
      </c>
      <c r="I1073" s="3">
        <v>-79.051500000000004</v>
      </c>
      <c r="J1073" s="12">
        <v>32</v>
      </c>
      <c r="K1073" s="12">
        <v>28</v>
      </c>
      <c r="L1073" s="4">
        <v>19.3</v>
      </c>
      <c r="M1073" s="5">
        <v>56</v>
      </c>
      <c r="N1073" s="5">
        <v>131</v>
      </c>
      <c r="O1073" s="5">
        <v>0</v>
      </c>
      <c r="P1073" s="5">
        <v>0</v>
      </c>
    </row>
    <row r="1074" spans="1:16">
      <c r="A1074" s="1" t="s">
        <v>1072</v>
      </c>
      <c r="B1074" s="1" t="s">
        <v>993</v>
      </c>
      <c r="C1074" s="1">
        <v>1996</v>
      </c>
      <c r="D1074" s="1" t="s">
        <v>1717</v>
      </c>
      <c r="E1074" s="17">
        <v>35216</v>
      </c>
      <c r="F1074" s="18" t="str">
        <f t="shared" si="16"/>
        <v>PEPE1996_Mayo</v>
      </c>
      <c r="G1074" s="1" t="s">
        <v>1688</v>
      </c>
      <c r="H1074" s="3">
        <v>2.1003333333333334</v>
      </c>
      <c r="I1074" s="3">
        <v>-79.186000000000007</v>
      </c>
      <c r="J1074" s="12">
        <v>31</v>
      </c>
      <c r="K1074" s="12">
        <v>27.5</v>
      </c>
      <c r="L1074" s="4">
        <v>22.7</v>
      </c>
      <c r="M1074" s="5">
        <v>32</v>
      </c>
      <c r="N1074" s="5">
        <v>126</v>
      </c>
      <c r="O1074" s="5">
        <v>0</v>
      </c>
      <c r="P1074" s="5">
        <v>0</v>
      </c>
    </row>
    <row r="1075" spans="1:16">
      <c r="A1075" s="1" t="s">
        <v>1074</v>
      </c>
      <c r="B1075" s="1" t="s">
        <v>1075</v>
      </c>
      <c r="C1075" s="1">
        <v>1996</v>
      </c>
      <c r="D1075" s="1" t="s">
        <v>1713</v>
      </c>
      <c r="E1075" s="17">
        <v>35373</v>
      </c>
      <c r="F1075" s="18" t="str">
        <f t="shared" si="16"/>
        <v>PEPE1996_Noviembre</v>
      </c>
      <c r="G1075" s="10" t="s">
        <v>1671</v>
      </c>
      <c r="H1075" s="3">
        <v>5.9993333333333334</v>
      </c>
      <c r="I1075" s="3">
        <v>-77.690333333333328</v>
      </c>
      <c r="J1075" s="12">
        <v>28</v>
      </c>
      <c r="K1075" s="12">
        <v>28.2</v>
      </c>
      <c r="L1075" s="4">
        <v>112.3756518462061</v>
      </c>
      <c r="M1075" s="5">
        <v>961</v>
      </c>
      <c r="N1075" s="5">
        <v>1774</v>
      </c>
      <c r="O1075" s="5">
        <v>14.781484605115962</v>
      </c>
      <c r="P1075" s="5">
        <v>1271.2076760399727</v>
      </c>
    </row>
    <row r="1076" spans="1:16">
      <c r="A1076" s="1" t="s">
        <v>1076</v>
      </c>
      <c r="B1076" s="1" t="s">
        <v>1075</v>
      </c>
      <c r="C1076" s="1">
        <v>1996</v>
      </c>
      <c r="D1076" s="1" t="s">
        <v>1713</v>
      </c>
      <c r="E1076" s="17">
        <v>35373</v>
      </c>
      <c r="F1076" s="18" t="str">
        <f t="shared" si="16"/>
        <v>PEPE1996_Noviembre</v>
      </c>
      <c r="G1076" s="10" t="s">
        <v>1531</v>
      </c>
      <c r="H1076" s="3">
        <v>7.1253333333333337</v>
      </c>
      <c r="I1076" s="3">
        <v>-77.128</v>
      </c>
      <c r="J1076" s="12">
        <v>25</v>
      </c>
      <c r="K1076" s="12">
        <v>28.1</v>
      </c>
      <c r="L1076" s="4">
        <v>98.419311065609904</v>
      </c>
      <c r="M1076" s="5">
        <v>489</v>
      </c>
      <c r="N1076" s="5">
        <v>534</v>
      </c>
      <c r="O1076" s="5">
        <v>0</v>
      </c>
      <c r="P1076" s="5">
        <v>44.499588503236481</v>
      </c>
    </row>
    <row r="1077" spans="1:16">
      <c r="A1077" s="1" t="s">
        <v>1077</v>
      </c>
      <c r="B1077" s="1" t="s">
        <v>1075</v>
      </c>
      <c r="C1077" s="1">
        <v>1996</v>
      </c>
      <c r="D1077" s="1" t="s">
        <v>1713</v>
      </c>
      <c r="E1077" s="17">
        <v>35373</v>
      </c>
      <c r="F1077" s="18" t="str">
        <f t="shared" si="16"/>
        <v>PEPE1996_Noviembre</v>
      </c>
      <c r="G1077" s="10" t="s">
        <v>1672</v>
      </c>
      <c r="H1077" s="3">
        <v>6.9909999999999997</v>
      </c>
      <c r="I1077" s="3">
        <v>-77.690333333333328</v>
      </c>
      <c r="J1077" s="12">
        <v>28</v>
      </c>
      <c r="K1077" s="12">
        <v>28.1</v>
      </c>
      <c r="L1077" s="4">
        <v>80.403938451846443</v>
      </c>
      <c r="M1077" s="5">
        <v>13</v>
      </c>
      <c r="N1077" s="5">
        <v>19</v>
      </c>
      <c r="O1077" s="5">
        <v>4.6634284302070936</v>
      </c>
      <c r="P1077" s="5">
        <v>13.99028529062128</v>
      </c>
    </row>
    <row r="1078" spans="1:16">
      <c r="A1078" s="1" t="s">
        <v>1078</v>
      </c>
      <c r="B1078" s="1" t="s">
        <v>1075</v>
      </c>
      <c r="C1078" s="1">
        <v>1996</v>
      </c>
      <c r="D1078" s="1" t="s">
        <v>1713</v>
      </c>
      <c r="E1078" s="17">
        <v>35374</v>
      </c>
      <c r="F1078" s="18" t="str">
        <f t="shared" si="16"/>
        <v>PEPE1996_Noviembre</v>
      </c>
      <c r="G1078" s="10" t="s">
        <v>1673</v>
      </c>
      <c r="H1078" s="3">
        <v>7.0061666666666671</v>
      </c>
      <c r="I1078" s="3">
        <v>-77.835833333333326</v>
      </c>
      <c r="J1078" s="12">
        <v>26</v>
      </c>
      <c r="K1078" s="12">
        <v>28.1</v>
      </c>
      <c r="L1078" s="4">
        <v>102.07123355412975</v>
      </c>
      <c r="M1078" s="5">
        <v>189</v>
      </c>
      <c r="N1078" s="5">
        <v>754</v>
      </c>
      <c r="O1078" s="5">
        <v>0</v>
      </c>
      <c r="P1078" s="5">
        <v>94.275543091433093</v>
      </c>
    </row>
    <row r="1079" spans="1:16">
      <c r="A1079" s="1" t="s">
        <v>1079</v>
      </c>
      <c r="B1079" s="1" t="s">
        <v>1075</v>
      </c>
      <c r="C1079" s="1">
        <v>1996</v>
      </c>
      <c r="D1079" s="1" t="s">
        <v>1713</v>
      </c>
      <c r="E1079" s="17">
        <v>35374</v>
      </c>
      <c r="F1079" s="18" t="str">
        <f t="shared" si="16"/>
        <v>PEPE1996_Noviembre</v>
      </c>
      <c r="G1079" s="10" t="s">
        <v>1533</v>
      </c>
      <c r="H1079" s="3">
        <v>6.8281666666666663</v>
      </c>
      <c r="I1079" s="3">
        <v>-77.628833333333333</v>
      </c>
      <c r="J1079" s="12">
        <v>27</v>
      </c>
      <c r="K1079" s="12">
        <v>28</v>
      </c>
      <c r="L1079" s="4">
        <v>85.584228497292088</v>
      </c>
      <c r="M1079" s="5">
        <v>416</v>
      </c>
      <c r="N1079" s="5">
        <v>147</v>
      </c>
      <c r="O1079" s="5">
        <v>73.463362136363102</v>
      </c>
      <c r="P1079" s="5">
        <v>104.94766019480443</v>
      </c>
    </row>
    <row r="1080" spans="1:16">
      <c r="A1080" s="1" t="s">
        <v>1080</v>
      </c>
      <c r="B1080" s="1" t="s">
        <v>1075</v>
      </c>
      <c r="C1080" s="1">
        <v>1996</v>
      </c>
      <c r="D1080" s="1" t="s">
        <v>1713</v>
      </c>
      <c r="E1080" s="17">
        <v>35373</v>
      </c>
      <c r="F1080" s="18" t="str">
        <f t="shared" si="16"/>
        <v>PEPE1996_Noviembre</v>
      </c>
      <c r="G1080" s="10" t="s">
        <v>1535</v>
      </c>
      <c r="H1080" s="3">
        <v>6.8323333333333336</v>
      </c>
      <c r="I1080" s="3">
        <v>-77.775666666666666</v>
      </c>
      <c r="J1080" s="12">
        <v>25</v>
      </c>
      <c r="K1080" s="12">
        <v>27.7</v>
      </c>
      <c r="L1080" s="4">
        <v>55.38849193405342</v>
      </c>
      <c r="M1080" s="5">
        <v>416</v>
      </c>
      <c r="N1080" s="5">
        <v>506</v>
      </c>
      <c r="O1080" s="5">
        <v>0</v>
      </c>
      <c r="P1080" s="5">
        <v>13.421057660943713</v>
      </c>
    </row>
    <row r="1081" spans="1:16">
      <c r="A1081" s="1" t="s">
        <v>1081</v>
      </c>
      <c r="B1081" s="1" t="s">
        <v>1075</v>
      </c>
      <c r="C1081" s="1">
        <v>1996</v>
      </c>
      <c r="D1081" s="1" t="s">
        <v>1713</v>
      </c>
      <c r="E1081" s="17">
        <v>35374</v>
      </c>
      <c r="F1081" s="18" t="str">
        <f t="shared" si="16"/>
        <v>PEPE1996_Noviembre</v>
      </c>
      <c r="G1081" s="10" t="s">
        <v>1341</v>
      </c>
      <c r="H1081" s="3">
        <v>6.67</v>
      </c>
      <c r="I1081" s="3">
        <v>-77.56016666666666</v>
      </c>
      <c r="J1081" s="12">
        <v>26</v>
      </c>
      <c r="K1081" s="12">
        <v>27.8</v>
      </c>
      <c r="L1081" s="4">
        <v>90.763941214300999</v>
      </c>
      <c r="M1081" s="5">
        <v>82</v>
      </c>
      <c r="N1081" s="5">
        <v>112</v>
      </c>
      <c r="O1081" s="5">
        <v>0</v>
      </c>
      <c r="P1081" s="5">
        <v>9.0763941214300985</v>
      </c>
    </row>
    <row r="1082" spans="1:16">
      <c r="A1082" s="1" t="s">
        <v>1082</v>
      </c>
      <c r="B1082" s="1" t="s">
        <v>1075</v>
      </c>
      <c r="C1082" s="1">
        <v>1996</v>
      </c>
      <c r="D1082" s="1" t="s">
        <v>1713</v>
      </c>
      <c r="E1082" s="17">
        <v>35374</v>
      </c>
      <c r="F1082" s="18" t="str">
        <f t="shared" si="16"/>
        <v>PEPE1996_Noviembre</v>
      </c>
      <c r="G1082" s="10" t="s">
        <v>1343</v>
      </c>
      <c r="H1082" s="3">
        <v>3.6659999999999999</v>
      </c>
      <c r="I1082" s="3">
        <v>-77.700833333333335</v>
      </c>
      <c r="J1082" s="12">
        <v>27</v>
      </c>
      <c r="K1082" s="12">
        <v>27.3</v>
      </c>
      <c r="L1082" s="4">
        <v>91.00947576100107</v>
      </c>
      <c r="M1082" s="5">
        <v>138</v>
      </c>
      <c r="N1082" s="5">
        <v>303</v>
      </c>
      <c r="O1082" s="5">
        <v>0</v>
      </c>
      <c r="P1082" s="5">
        <v>0</v>
      </c>
    </row>
    <row r="1083" spans="1:16">
      <c r="A1083" s="1" t="s">
        <v>1083</v>
      </c>
      <c r="B1083" s="1" t="s">
        <v>1075</v>
      </c>
      <c r="C1083" s="1">
        <v>1996</v>
      </c>
      <c r="D1083" s="1" t="s">
        <v>1713</v>
      </c>
      <c r="E1083" s="17">
        <v>35374</v>
      </c>
      <c r="F1083" s="18" t="str">
        <f t="shared" si="16"/>
        <v>PEPE1996_Noviembre</v>
      </c>
      <c r="G1083" s="10" t="s">
        <v>1493</v>
      </c>
      <c r="H1083" s="3">
        <v>6.4954999999999998</v>
      </c>
      <c r="I1083" s="3">
        <v>-77.386833333333328</v>
      </c>
      <c r="J1083" s="12">
        <v>28</v>
      </c>
      <c r="K1083" s="12">
        <v>28.5</v>
      </c>
      <c r="L1083" s="4">
        <v>65.459341896179808</v>
      </c>
      <c r="M1083" s="5">
        <v>45</v>
      </c>
      <c r="N1083" s="5">
        <v>111</v>
      </c>
      <c r="O1083" s="5">
        <v>4.4512352489402272</v>
      </c>
      <c r="P1083" s="5">
        <v>0</v>
      </c>
    </row>
    <row r="1084" spans="1:16">
      <c r="A1084" s="1" t="s">
        <v>1084</v>
      </c>
      <c r="B1084" s="1" t="s">
        <v>1075</v>
      </c>
      <c r="C1084" s="1">
        <v>1996</v>
      </c>
      <c r="D1084" s="1" t="s">
        <v>1713</v>
      </c>
      <c r="E1084" s="17">
        <v>35375</v>
      </c>
      <c r="F1084" s="18" t="str">
        <f t="shared" si="16"/>
        <v>PEPE1996_Noviembre</v>
      </c>
      <c r="G1084" s="10" t="s">
        <v>1346</v>
      </c>
      <c r="H1084" s="3">
        <v>6.331833333333333</v>
      </c>
      <c r="I1084" s="3">
        <v>-77.398833333333329</v>
      </c>
      <c r="J1084" s="12">
        <v>26</v>
      </c>
      <c r="K1084" s="12">
        <v>28</v>
      </c>
      <c r="L1084" s="4">
        <v>88.261596073276891</v>
      </c>
      <c r="M1084" s="5">
        <v>5</v>
      </c>
      <c r="N1084" s="5">
        <v>252</v>
      </c>
      <c r="O1084" s="5">
        <v>0</v>
      </c>
      <c r="P1084" s="5">
        <v>144.68597356297892</v>
      </c>
    </row>
    <row r="1085" spans="1:16">
      <c r="A1085" s="1" t="s">
        <v>1085</v>
      </c>
      <c r="B1085" s="1" t="s">
        <v>1075</v>
      </c>
      <c r="C1085" s="1">
        <v>1996</v>
      </c>
      <c r="D1085" s="1" t="s">
        <v>1713</v>
      </c>
      <c r="E1085" s="17">
        <v>35375</v>
      </c>
      <c r="F1085" s="18" t="str">
        <f t="shared" si="16"/>
        <v>PEPE1996_Noviembre</v>
      </c>
      <c r="G1085" s="10" t="s">
        <v>1500</v>
      </c>
      <c r="H1085" s="3">
        <v>6.176166666666667</v>
      </c>
      <c r="I1085" s="3">
        <v>-77.49933333333334</v>
      </c>
      <c r="J1085" s="12">
        <v>25</v>
      </c>
      <c r="K1085" s="12">
        <v>27.7</v>
      </c>
      <c r="L1085" s="4">
        <v>105.89126475001783</v>
      </c>
      <c r="M1085" s="5">
        <v>9</v>
      </c>
      <c r="N1085" s="5">
        <v>587</v>
      </c>
      <c r="O1085" s="5">
        <v>0</v>
      </c>
      <c r="P1085" s="5">
        <v>453.39109857132632</v>
      </c>
    </row>
    <row r="1086" spans="1:16">
      <c r="A1086" s="1" t="s">
        <v>1086</v>
      </c>
      <c r="B1086" s="1" t="s">
        <v>1075</v>
      </c>
      <c r="C1086" s="1">
        <v>1996</v>
      </c>
      <c r="D1086" s="1" t="s">
        <v>1713</v>
      </c>
      <c r="E1086" s="17">
        <v>35374</v>
      </c>
      <c r="F1086" s="18" t="str">
        <f t="shared" si="16"/>
        <v>PEPE1996_Noviembre</v>
      </c>
      <c r="G1086" s="10" t="s">
        <v>1674</v>
      </c>
      <c r="H1086" s="3">
        <v>6.1639999999999997</v>
      </c>
      <c r="I1086" s="3">
        <v>-77.634333333333331</v>
      </c>
      <c r="J1086" s="12">
        <v>30</v>
      </c>
      <c r="K1086" s="12">
        <v>27.9</v>
      </c>
      <c r="L1086" s="4">
        <v>66.605804946338893</v>
      </c>
      <c r="M1086" s="5">
        <v>318</v>
      </c>
      <c r="N1086" s="5">
        <v>1326</v>
      </c>
      <c r="O1086" s="5">
        <v>0</v>
      </c>
      <c r="P1086" s="5">
        <v>247.57377698554171</v>
      </c>
    </row>
    <row r="1087" spans="1:16">
      <c r="A1087" s="1" t="s">
        <v>1087</v>
      </c>
      <c r="B1087" s="1" t="s">
        <v>1075</v>
      </c>
      <c r="C1087" s="1">
        <v>1996</v>
      </c>
      <c r="D1087" s="1" t="s">
        <v>1713</v>
      </c>
      <c r="E1087" s="17">
        <v>35376</v>
      </c>
      <c r="F1087" s="18" t="str">
        <f t="shared" si="16"/>
        <v>PEPE1996_Noviembre</v>
      </c>
      <c r="G1087" s="10" t="s">
        <v>1540</v>
      </c>
      <c r="H1087" s="3">
        <v>6.0001666666666669</v>
      </c>
      <c r="I1087" s="3">
        <v>-77.388333333333335</v>
      </c>
      <c r="J1087" s="12">
        <v>25</v>
      </c>
      <c r="K1087" s="12">
        <v>27.9</v>
      </c>
      <c r="L1087" s="4">
        <v>69.200374722797136</v>
      </c>
      <c r="M1087" s="5">
        <v>164</v>
      </c>
      <c r="N1087" s="5">
        <v>705</v>
      </c>
      <c r="O1087" s="5">
        <v>0</v>
      </c>
      <c r="P1087" s="5">
        <v>463.81865705112614</v>
      </c>
    </row>
    <row r="1088" spans="1:16">
      <c r="A1088" s="1" t="s">
        <v>1088</v>
      </c>
      <c r="B1088" s="1" t="s">
        <v>1075</v>
      </c>
      <c r="C1088" s="1">
        <v>1996</v>
      </c>
      <c r="D1088" s="1" t="s">
        <v>1713</v>
      </c>
      <c r="E1088" s="17">
        <v>35376</v>
      </c>
      <c r="F1088" s="18" t="str">
        <f t="shared" si="16"/>
        <v>PEPE1996_Noviembre</v>
      </c>
      <c r="G1088" s="10" t="s">
        <v>1541</v>
      </c>
      <c r="H1088" s="3">
        <v>6.0003333333333337</v>
      </c>
      <c r="I1088" s="3">
        <v>-77.415999999999997</v>
      </c>
      <c r="J1088" s="12">
        <v>25</v>
      </c>
      <c r="K1088" s="12">
        <v>27.6</v>
      </c>
      <c r="L1088" s="4">
        <v>110.46124551151776</v>
      </c>
      <c r="M1088" s="5">
        <v>29</v>
      </c>
      <c r="N1088" s="5">
        <v>1705</v>
      </c>
      <c r="O1088" s="5">
        <v>9.7406734678338385</v>
      </c>
      <c r="P1088" s="5">
        <v>1276.0282242862329</v>
      </c>
    </row>
    <row r="1089" spans="1:16">
      <c r="A1089" s="1" t="s">
        <v>1089</v>
      </c>
      <c r="B1089" s="1" t="s">
        <v>1075</v>
      </c>
      <c r="C1089" s="1">
        <v>1996</v>
      </c>
      <c r="D1089" s="1" t="s">
        <v>1713</v>
      </c>
      <c r="E1089" s="17">
        <v>35373</v>
      </c>
      <c r="F1089" s="18" t="str">
        <f t="shared" si="16"/>
        <v>PEPE1996_Noviembre</v>
      </c>
      <c r="G1089" s="10" t="s">
        <v>1542</v>
      </c>
      <c r="H1089" s="3">
        <v>6.0016666666666669</v>
      </c>
      <c r="I1089" s="3">
        <v>-77.681666666666672</v>
      </c>
      <c r="J1089" s="12">
        <v>28</v>
      </c>
      <c r="K1089" s="12">
        <v>27.6</v>
      </c>
      <c r="L1089" s="4">
        <v>175.04420899037839</v>
      </c>
      <c r="M1089" s="5">
        <v>0</v>
      </c>
      <c r="N1089" s="5">
        <v>744</v>
      </c>
      <c r="O1089" s="1">
        <v>0</v>
      </c>
      <c r="P1089" s="5">
        <v>309.8282499129698</v>
      </c>
    </row>
    <row r="1090" spans="1:16">
      <c r="A1090" s="1" t="s">
        <v>1090</v>
      </c>
      <c r="B1090" s="1" t="s">
        <v>1075</v>
      </c>
      <c r="C1090" s="1">
        <v>1996</v>
      </c>
      <c r="D1090" s="1" t="s">
        <v>1713</v>
      </c>
      <c r="E1090" s="17">
        <v>35376</v>
      </c>
      <c r="F1090" s="18" t="str">
        <f t="shared" si="16"/>
        <v>PEPE1996_Noviembre</v>
      </c>
      <c r="G1090" s="10" t="s">
        <v>1356</v>
      </c>
      <c r="H1090" s="3">
        <v>5.8426666666666662</v>
      </c>
      <c r="I1090" s="3">
        <v>-77.3185</v>
      </c>
      <c r="J1090" s="12">
        <v>25</v>
      </c>
      <c r="K1090" s="12">
        <v>27.2</v>
      </c>
      <c r="L1090" s="4">
        <v>81.24898329084759</v>
      </c>
      <c r="M1090" s="5">
        <v>61</v>
      </c>
      <c r="N1090" s="5">
        <v>279</v>
      </c>
      <c r="O1090" s="5">
        <v>6.9874125630128923</v>
      </c>
      <c r="P1090" s="5">
        <v>50.658741081843466</v>
      </c>
    </row>
    <row r="1091" spans="1:16">
      <c r="A1091" s="1" t="s">
        <v>1091</v>
      </c>
      <c r="B1091" s="1" t="s">
        <v>1075</v>
      </c>
      <c r="C1091" s="1">
        <v>1996</v>
      </c>
      <c r="D1091" s="1" t="s">
        <v>1713</v>
      </c>
      <c r="E1091" s="17">
        <v>35376</v>
      </c>
      <c r="F1091" s="18" t="str">
        <f t="shared" ref="F1091:F1154" si="17">"PEPE"&amp;C1091&amp;"_"&amp;D1091</f>
        <v>PEPE1996_Noviembre</v>
      </c>
      <c r="G1091" s="10" t="s">
        <v>1358</v>
      </c>
      <c r="H1091" s="3">
        <v>5.8334999999999999</v>
      </c>
      <c r="I1091" s="3">
        <v>-77.44916666666667</v>
      </c>
      <c r="J1091" s="12">
        <v>25</v>
      </c>
      <c r="K1091" s="12">
        <v>26.9</v>
      </c>
      <c r="L1091" s="4">
        <v>47.575574961670647</v>
      </c>
      <c r="M1091" s="5">
        <v>149</v>
      </c>
      <c r="N1091" s="5">
        <v>368</v>
      </c>
      <c r="O1091" s="5">
        <v>7.8356971961871551</v>
      </c>
      <c r="P1091" s="5">
        <v>70.521274765684396</v>
      </c>
    </row>
    <row r="1092" spans="1:16">
      <c r="A1092" s="1" t="s">
        <v>1092</v>
      </c>
      <c r="B1092" s="1" t="s">
        <v>1075</v>
      </c>
      <c r="C1092" s="1">
        <v>1996</v>
      </c>
      <c r="D1092" s="1" t="s">
        <v>1713</v>
      </c>
      <c r="E1092" s="17">
        <v>35376</v>
      </c>
      <c r="F1092" s="18" t="str">
        <f t="shared" si="17"/>
        <v>PEPE1996_Noviembre</v>
      </c>
      <c r="G1092" s="10" t="s">
        <v>1504</v>
      </c>
      <c r="H1092" s="3">
        <v>5.6821666666666664</v>
      </c>
      <c r="I1092" s="3">
        <v>-77.335999999999999</v>
      </c>
      <c r="J1092" s="12">
        <v>20</v>
      </c>
      <c r="K1092" s="12">
        <v>26.4</v>
      </c>
      <c r="L1092" s="4">
        <v>77.421792376430957</v>
      </c>
      <c r="M1092" s="5">
        <v>5</v>
      </c>
      <c r="N1092" s="5">
        <v>29</v>
      </c>
      <c r="O1092" s="5">
        <v>3.5226915531276086</v>
      </c>
      <c r="P1092" s="5">
        <v>14.594007862957236</v>
      </c>
    </row>
    <row r="1093" spans="1:16">
      <c r="A1093" s="1" t="s">
        <v>1093</v>
      </c>
      <c r="B1093" s="1" t="s">
        <v>1075</v>
      </c>
      <c r="C1093" s="1">
        <v>1996</v>
      </c>
      <c r="D1093" s="1" t="s">
        <v>1713</v>
      </c>
      <c r="E1093" s="17">
        <v>35376</v>
      </c>
      <c r="F1093" s="18" t="str">
        <f t="shared" si="17"/>
        <v>PEPE1996_Noviembre</v>
      </c>
      <c r="G1093" s="10" t="s">
        <v>1506</v>
      </c>
      <c r="H1093" s="3">
        <v>5.6693333333333333</v>
      </c>
      <c r="I1093" s="3">
        <v>-77.476166666666671</v>
      </c>
      <c r="J1093" s="12">
        <v>25</v>
      </c>
      <c r="K1093" s="12">
        <v>27.6</v>
      </c>
      <c r="L1093" s="4">
        <v>104.2584742731468</v>
      </c>
      <c r="M1093" s="5">
        <v>443</v>
      </c>
      <c r="N1093" s="5">
        <v>857</v>
      </c>
      <c r="O1093" s="5">
        <v>0</v>
      </c>
      <c r="P1093" s="5">
        <v>428.52237896922435</v>
      </c>
    </row>
    <row r="1094" spans="1:16">
      <c r="A1094" s="1" t="s">
        <v>1094</v>
      </c>
      <c r="B1094" s="1" t="s">
        <v>1075</v>
      </c>
      <c r="C1094" s="1">
        <v>1996</v>
      </c>
      <c r="D1094" s="1" t="s">
        <v>1713</v>
      </c>
      <c r="E1094" s="17">
        <v>35376</v>
      </c>
      <c r="F1094" s="18" t="str">
        <f t="shared" si="17"/>
        <v>PEPE1996_Noviembre</v>
      </c>
      <c r="G1094" s="10" t="s">
        <v>1361</v>
      </c>
      <c r="H1094" s="3">
        <v>5.4998333333333331</v>
      </c>
      <c r="I1094" s="3">
        <v>-77.566500000000005</v>
      </c>
      <c r="J1094" s="12">
        <v>25</v>
      </c>
      <c r="K1094" s="12">
        <v>27.6</v>
      </c>
      <c r="L1094" s="4">
        <v>82.524592328513904</v>
      </c>
      <c r="M1094" s="5">
        <v>219</v>
      </c>
      <c r="N1094" s="5">
        <v>1588</v>
      </c>
      <c r="O1094" s="5">
        <v>0</v>
      </c>
      <c r="P1094" s="5">
        <v>449.03988531439512</v>
      </c>
    </row>
    <row r="1095" spans="1:16">
      <c r="A1095" s="1" t="s">
        <v>1095</v>
      </c>
      <c r="B1095" s="1" t="s">
        <v>1075</v>
      </c>
      <c r="C1095" s="1">
        <v>1996</v>
      </c>
      <c r="D1095" s="1" t="s">
        <v>1713</v>
      </c>
      <c r="E1095" s="17">
        <v>35373</v>
      </c>
      <c r="F1095" s="18" t="str">
        <f t="shared" si="17"/>
        <v>PEPE1996_Noviembre</v>
      </c>
      <c r="G1095" s="10" t="s">
        <v>1362</v>
      </c>
      <c r="H1095" s="3">
        <v>5.4844999999999997</v>
      </c>
      <c r="I1095" s="3">
        <v>-77.700999999999993</v>
      </c>
      <c r="J1095" s="12">
        <v>24</v>
      </c>
      <c r="K1095" s="12">
        <v>27.2</v>
      </c>
      <c r="L1095" s="4">
        <v>129.34889079704374</v>
      </c>
      <c r="M1095" s="5">
        <v>60</v>
      </c>
      <c r="N1095" s="5">
        <v>1166</v>
      </c>
      <c r="O1095" s="5">
        <v>0</v>
      </c>
      <c r="P1095" s="5">
        <v>774.02376252950978</v>
      </c>
    </row>
    <row r="1096" spans="1:16">
      <c r="A1096" s="1" t="s">
        <v>1096</v>
      </c>
      <c r="B1096" s="1" t="s">
        <v>1075</v>
      </c>
      <c r="C1096" s="1">
        <v>1996</v>
      </c>
      <c r="D1096" s="1" t="s">
        <v>1713</v>
      </c>
      <c r="E1096" s="17">
        <v>35377</v>
      </c>
      <c r="F1096" s="18" t="str">
        <f t="shared" si="17"/>
        <v>PEPE1996_Noviembre</v>
      </c>
      <c r="G1096" s="10" t="s">
        <v>1675</v>
      </c>
      <c r="H1096" s="3">
        <v>5.3336666666666668</v>
      </c>
      <c r="I1096" s="3">
        <v>-77.488833333333332</v>
      </c>
      <c r="J1096" s="12">
        <v>21</v>
      </c>
      <c r="K1096" s="12">
        <v>28.2</v>
      </c>
      <c r="L1096" s="4">
        <v>10</v>
      </c>
      <c r="M1096" s="5">
        <v>74</v>
      </c>
      <c r="N1096" s="5">
        <v>1974</v>
      </c>
      <c r="O1096" s="5">
        <v>53.710921108727696</v>
      </c>
      <c r="P1096" s="5">
        <v>463.25669456277637</v>
      </c>
    </row>
    <row r="1097" spans="1:16">
      <c r="A1097" s="1" t="s">
        <v>1097</v>
      </c>
      <c r="B1097" s="1" t="s">
        <v>1075</v>
      </c>
      <c r="C1097" s="1">
        <v>1996</v>
      </c>
      <c r="D1097" s="1" t="s">
        <v>1713</v>
      </c>
      <c r="E1097" s="17">
        <v>35377</v>
      </c>
      <c r="F1097" s="18" t="str">
        <f t="shared" si="17"/>
        <v>PEPE1996_Noviembre</v>
      </c>
      <c r="G1097" s="10" t="s">
        <v>1366</v>
      </c>
      <c r="H1097" s="3">
        <v>5.3328333333333333</v>
      </c>
      <c r="I1097" s="3">
        <v>-77.567499999999995</v>
      </c>
      <c r="J1097" s="12">
        <v>22</v>
      </c>
      <c r="K1097" s="12">
        <v>27.5</v>
      </c>
      <c r="L1097" s="4">
        <v>101.67740446415694</v>
      </c>
      <c r="M1097" s="5">
        <v>462</v>
      </c>
      <c r="N1097" s="5">
        <v>1830</v>
      </c>
      <c r="O1097" s="5">
        <v>209.91032579508189</v>
      </c>
      <c r="P1097" s="5">
        <v>1041.1552159436062</v>
      </c>
    </row>
    <row r="1098" spans="1:16">
      <c r="A1098" s="1" t="s">
        <v>1098</v>
      </c>
      <c r="B1098" s="1" t="s">
        <v>1075</v>
      </c>
      <c r="C1098" s="1">
        <v>1996</v>
      </c>
      <c r="D1098" s="1" t="s">
        <v>1713</v>
      </c>
      <c r="E1098" s="17">
        <v>35377</v>
      </c>
      <c r="F1098" s="18" t="str">
        <f t="shared" si="17"/>
        <v>PEPE1996_Noviembre</v>
      </c>
      <c r="G1098" s="10" t="s">
        <v>1379</v>
      </c>
      <c r="H1098" s="3">
        <v>5.1648333333333332</v>
      </c>
      <c r="I1098" s="3">
        <v>-77.496499999999997</v>
      </c>
      <c r="J1098" s="12">
        <v>25</v>
      </c>
      <c r="K1098" s="12">
        <v>27.3</v>
      </c>
      <c r="L1098" s="4">
        <v>6</v>
      </c>
      <c r="M1098" s="5">
        <v>453</v>
      </c>
      <c r="N1098" s="5">
        <v>385</v>
      </c>
      <c r="O1098" s="5">
        <v>74.524988019797703</v>
      </c>
      <c r="P1098" s="5">
        <v>161.47080737622835</v>
      </c>
    </row>
    <row r="1099" spans="1:16">
      <c r="A1099" s="1" t="s">
        <v>1099</v>
      </c>
      <c r="B1099" s="1" t="s">
        <v>1075</v>
      </c>
      <c r="C1099" s="1">
        <v>1996</v>
      </c>
      <c r="D1099" s="1" t="s">
        <v>1713</v>
      </c>
      <c r="E1099" s="17">
        <v>35377</v>
      </c>
      <c r="F1099" s="18" t="str">
        <f t="shared" si="17"/>
        <v>PEPE1996_Noviembre</v>
      </c>
      <c r="G1099" s="10" t="s">
        <v>1380</v>
      </c>
      <c r="H1099" s="3">
        <v>5.1684999999999999</v>
      </c>
      <c r="I1099" s="3">
        <v>-77.56783333333334</v>
      </c>
      <c r="J1099" s="12">
        <v>24</v>
      </c>
      <c r="K1099" s="12">
        <v>27.9</v>
      </c>
      <c r="L1099" s="4">
        <v>37.907483844057829</v>
      </c>
      <c r="M1099" s="5">
        <v>268</v>
      </c>
      <c r="N1099" s="5">
        <v>402</v>
      </c>
      <c r="O1099" s="5">
        <v>26.815754071286509</v>
      </c>
      <c r="P1099" s="5">
        <v>98.324431594717197</v>
      </c>
    </row>
    <row r="1100" spans="1:16">
      <c r="A1100" s="1" t="s">
        <v>1100</v>
      </c>
      <c r="B1100" s="1" t="s">
        <v>1075</v>
      </c>
      <c r="C1100" s="1">
        <v>1996</v>
      </c>
      <c r="D1100" s="1" t="s">
        <v>1713</v>
      </c>
      <c r="E1100" s="17">
        <v>35377</v>
      </c>
      <c r="F1100" s="18" t="str">
        <f t="shared" si="17"/>
        <v>PEPE1996_Noviembre</v>
      </c>
      <c r="G1100" s="10" t="s">
        <v>1384</v>
      </c>
      <c r="H1100" s="3">
        <v>5.0019999999999998</v>
      </c>
      <c r="I1100" s="3">
        <v>-77.452500000000001</v>
      </c>
      <c r="J1100" s="12">
        <v>25</v>
      </c>
      <c r="K1100" s="12">
        <v>27.3</v>
      </c>
      <c r="L1100" s="4">
        <v>121.45495338772649</v>
      </c>
      <c r="M1100" s="5">
        <v>1384</v>
      </c>
      <c r="N1100" s="5">
        <v>460</v>
      </c>
      <c r="O1100" s="5">
        <v>51.124438379340333</v>
      </c>
      <c r="P1100" s="5">
        <v>406.50163199182805</v>
      </c>
    </row>
    <row r="1101" spans="1:16">
      <c r="A1101" s="1" t="s">
        <v>1101</v>
      </c>
      <c r="B1101" s="1" t="s">
        <v>1075</v>
      </c>
      <c r="C1101" s="1">
        <v>1996</v>
      </c>
      <c r="D1101" s="1" t="s">
        <v>1713</v>
      </c>
      <c r="E1101" s="17">
        <v>35377</v>
      </c>
      <c r="F1101" s="18" t="str">
        <f t="shared" si="17"/>
        <v>PEPE1996_Noviembre</v>
      </c>
      <c r="G1101" s="10" t="s">
        <v>1385</v>
      </c>
      <c r="H1101" s="3">
        <v>5.0011666666666663</v>
      </c>
      <c r="I1101" s="3">
        <v>-77.533833333333334</v>
      </c>
      <c r="J1101" s="12">
        <v>28</v>
      </c>
      <c r="K1101" s="12">
        <v>27.5</v>
      </c>
      <c r="L1101" s="4">
        <v>15</v>
      </c>
      <c r="M1101" s="5">
        <v>397</v>
      </c>
      <c r="N1101" s="5">
        <v>3165</v>
      </c>
      <c r="O1101" s="5">
        <v>230.03548179050478</v>
      </c>
      <c r="P1101" s="5">
        <v>2633.5096536016408</v>
      </c>
    </row>
    <row r="1102" spans="1:16">
      <c r="A1102" s="1" t="s">
        <v>1102</v>
      </c>
      <c r="B1102" s="1" t="s">
        <v>1075</v>
      </c>
      <c r="C1102" s="1">
        <v>1996</v>
      </c>
      <c r="D1102" s="1" t="s">
        <v>1713</v>
      </c>
      <c r="E1102" s="17">
        <v>35378</v>
      </c>
      <c r="F1102" s="18" t="str">
        <f t="shared" si="17"/>
        <v>PEPE1996_Noviembre</v>
      </c>
      <c r="G1102" s="10" t="s">
        <v>1389</v>
      </c>
      <c r="H1102" s="3">
        <v>4.8401666666666667</v>
      </c>
      <c r="I1102" s="3">
        <v>-77.437333333333328</v>
      </c>
      <c r="J1102" s="12">
        <v>26</v>
      </c>
      <c r="K1102" s="12">
        <v>27.6</v>
      </c>
      <c r="L1102" s="4">
        <v>15</v>
      </c>
      <c r="M1102" s="5">
        <v>207</v>
      </c>
      <c r="N1102" s="5">
        <v>759</v>
      </c>
      <c r="O1102" s="5">
        <v>100.0816083631249</v>
      </c>
      <c r="P1102" s="5">
        <v>360.29379010724966</v>
      </c>
    </row>
    <row r="1103" spans="1:16">
      <c r="A1103" s="1" t="s">
        <v>1103</v>
      </c>
      <c r="B1103" s="1" t="s">
        <v>1075</v>
      </c>
      <c r="C1103" s="1">
        <v>1996</v>
      </c>
      <c r="D1103" s="1" t="s">
        <v>1713</v>
      </c>
      <c r="E1103" s="17">
        <v>35377</v>
      </c>
      <c r="F1103" s="18" t="str">
        <f t="shared" si="17"/>
        <v>PEPE1996_Noviembre</v>
      </c>
      <c r="G1103" s="10" t="s">
        <v>1390</v>
      </c>
      <c r="H1103" s="3">
        <v>4.8321666666666667</v>
      </c>
      <c r="I1103" s="3">
        <v>-77.515500000000003</v>
      </c>
      <c r="J1103" s="12">
        <v>30</v>
      </c>
      <c r="K1103" s="12">
        <v>27.7</v>
      </c>
      <c r="L1103" s="4">
        <v>91.483917295669826</v>
      </c>
      <c r="M1103" s="5">
        <v>937</v>
      </c>
      <c r="N1103" s="5">
        <v>1699</v>
      </c>
      <c r="O1103" s="5">
        <v>0</v>
      </c>
      <c r="P1103" s="5">
        <v>678.07147628212113</v>
      </c>
    </row>
    <row r="1104" spans="1:16">
      <c r="A1104" s="1" t="s">
        <v>1104</v>
      </c>
      <c r="B1104" s="1" t="s">
        <v>1075</v>
      </c>
      <c r="C1104" s="1">
        <v>1996</v>
      </c>
      <c r="D1104" s="1" t="s">
        <v>1713</v>
      </c>
      <c r="E1104" s="17">
        <v>35372</v>
      </c>
      <c r="F1104" s="18" t="str">
        <f t="shared" si="17"/>
        <v>PEPE1996_Noviembre</v>
      </c>
      <c r="G1104" s="10" t="s">
        <v>1546</v>
      </c>
      <c r="H1104" s="3">
        <v>4.8324999999999996</v>
      </c>
      <c r="I1104" s="3">
        <v>-77.684666666666672</v>
      </c>
      <c r="J1104" s="12">
        <v>30</v>
      </c>
      <c r="K1104" s="12">
        <v>27.4</v>
      </c>
      <c r="L1104" s="4">
        <v>39</v>
      </c>
      <c r="M1104" s="5">
        <v>257</v>
      </c>
      <c r="N1104" s="5">
        <v>282</v>
      </c>
      <c r="O1104" s="5">
        <v>0</v>
      </c>
      <c r="P1104" s="5">
        <v>3.5652337452809011</v>
      </c>
    </row>
    <row r="1105" spans="1:16">
      <c r="A1105" s="1" t="s">
        <v>1105</v>
      </c>
      <c r="B1105" s="1" t="s">
        <v>1075</v>
      </c>
      <c r="C1105" s="1">
        <v>1996</v>
      </c>
      <c r="D1105" s="1" t="s">
        <v>1713</v>
      </c>
      <c r="E1105" s="17">
        <v>35378</v>
      </c>
      <c r="F1105" s="18" t="str">
        <f t="shared" si="17"/>
        <v>PEPE1996_Noviembre</v>
      </c>
      <c r="G1105" s="10" t="s">
        <v>1617</v>
      </c>
      <c r="H1105" s="3">
        <v>4.6641666666666666</v>
      </c>
      <c r="I1105" s="3">
        <v>-77.416833333333329</v>
      </c>
      <c r="J1105" s="12">
        <v>25</v>
      </c>
      <c r="K1105" s="12">
        <v>27.5</v>
      </c>
      <c r="L1105" s="4">
        <v>7.5</v>
      </c>
      <c r="M1105" s="5">
        <v>685</v>
      </c>
      <c r="N1105" s="5">
        <v>635</v>
      </c>
      <c r="O1105" s="5">
        <v>271.20458541382175</v>
      </c>
      <c r="P1105" s="5">
        <v>318.88890812394425</v>
      </c>
    </row>
    <row r="1106" spans="1:16">
      <c r="A1106" s="1" t="s">
        <v>1106</v>
      </c>
      <c r="B1106" s="1" t="s">
        <v>1075</v>
      </c>
      <c r="C1106" s="1">
        <v>1996</v>
      </c>
      <c r="D1106" s="1" t="s">
        <v>1713</v>
      </c>
      <c r="E1106" s="17">
        <v>35378</v>
      </c>
      <c r="F1106" s="18" t="str">
        <f t="shared" si="17"/>
        <v>PEPE1996_Noviembre</v>
      </c>
      <c r="G1106" s="10" t="s">
        <v>1399</v>
      </c>
      <c r="H1106" s="3">
        <v>4.5011666666666663</v>
      </c>
      <c r="I1106" s="3">
        <v>-77.425333333333327</v>
      </c>
      <c r="J1106" s="12">
        <v>25</v>
      </c>
      <c r="K1106" s="12">
        <v>27.6</v>
      </c>
      <c r="L1106" s="4">
        <v>106.52916393525891</v>
      </c>
      <c r="M1106" s="5">
        <v>125</v>
      </c>
      <c r="N1106" s="5">
        <v>291</v>
      </c>
      <c r="O1106" s="5">
        <v>46.23365714790237</v>
      </c>
      <c r="P1106" s="5">
        <v>178.32982042762342</v>
      </c>
    </row>
    <row r="1107" spans="1:16">
      <c r="A1107" s="1" t="s">
        <v>1107</v>
      </c>
      <c r="B1107" s="1" t="s">
        <v>1075</v>
      </c>
      <c r="C1107" s="1">
        <v>1996</v>
      </c>
      <c r="D1107" s="1" t="s">
        <v>1713</v>
      </c>
      <c r="E1107" s="17">
        <v>35378</v>
      </c>
      <c r="F1107" s="18" t="str">
        <f t="shared" si="17"/>
        <v>PEPE1996_Noviembre</v>
      </c>
      <c r="G1107" s="10" t="s">
        <v>1550</v>
      </c>
      <c r="H1107" s="3">
        <v>4.3278333333333334</v>
      </c>
      <c r="I1107" s="3">
        <v>-77.522833333333338</v>
      </c>
      <c r="J1107" s="12">
        <v>20</v>
      </c>
      <c r="K1107" s="12">
        <v>27.5</v>
      </c>
      <c r="L1107" s="4">
        <v>51.084760365680246</v>
      </c>
      <c r="M1107" s="5">
        <v>982</v>
      </c>
      <c r="N1107" s="5">
        <v>1385</v>
      </c>
      <c r="O1107" s="5">
        <v>703.01257911593325</v>
      </c>
      <c r="P1107" s="5">
        <v>899.44256445714984</v>
      </c>
    </row>
    <row r="1108" spans="1:16">
      <c r="A1108" s="1" t="s">
        <v>1108</v>
      </c>
      <c r="B1108" s="1" t="s">
        <v>1075</v>
      </c>
      <c r="C1108" s="1">
        <v>1996</v>
      </c>
      <c r="D1108" s="1" t="s">
        <v>1713</v>
      </c>
      <c r="E1108" s="17">
        <v>35379</v>
      </c>
      <c r="F1108" s="18" t="str">
        <f t="shared" si="17"/>
        <v>PEPE1996_Noviembre</v>
      </c>
      <c r="G1108" s="10" t="s">
        <v>1405</v>
      </c>
      <c r="H1108" s="3">
        <v>4.3338333333333336</v>
      </c>
      <c r="I1108" s="3">
        <v>-77.601166666666671</v>
      </c>
      <c r="J1108" s="12">
        <v>25</v>
      </c>
      <c r="K1108" s="12">
        <v>27</v>
      </c>
      <c r="L1108" s="4">
        <v>8</v>
      </c>
      <c r="M1108" s="5">
        <v>217</v>
      </c>
      <c r="N1108" s="5">
        <v>897</v>
      </c>
      <c r="O1108" s="5">
        <v>0</v>
      </c>
      <c r="P1108" s="5">
        <v>421.27399903546598</v>
      </c>
    </row>
    <row r="1109" spans="1:16">
      <c r="A1109" s="1" t="s">
        <v>1109</v>
      </c>
      <c r="B1109" s="1" t="s">
        <v>1075</v>
      </c>
      <c r="C1109" s="1">
        <v>1996</v>
      </c>
      <c r="D1109" s="1" t="s">
        <v>1713</v>
      </c>
      <c r="E1109" s="17">
        <v>35379</v>
      </c>
      <c r="F1109" s="18" t="str">
        <f t="shared" si="17"/>
        <v>PEPE1996_Noviembre</v>
      </c>
      <c r="G1109" s="10" t="s">
        <v>1644</v>
      </c>
      <c r="H1109" s="3">
        <v>4.1754999999999995</v>
      </c>
      <c r="I1109" s="3">
        <v>-77.592333333333329</v>
      </c>
      <c r="J1109" s="12">
        <v>25</v>
      </c>
      <c r="K1109" s="12">
        <v>27.7</v>
      </c>
      <c r="L1109" s="4">
        <v>171.18916953778296</v>
      </c>
      <c r="M1109" s="5">
        <v>170</v>
      </c>
      <c r="N1109" s="5">
        <v>765</v>
      </c>
      <c r="O1109" s="5">
        <v>119.60416645039768</v>
      </c>
      <c r="P1109" s="5">
        <v>565.12968647812897</v>
      </c>
    </row>
    <row r="1110" spans="1:16">
      <c r="A1110" s="1" t="s">
        <v>1110</v>
      </c>
      <c r="B1110" s="1" t="s">
        <v>1075</v>
      </c>
      <c r="C1110" s="1">
        <v>1996</v>
      </c>
      <c r="D1110" s="1" t="s">
        <v>1713</v>
      </c>
      <c r="E1110" s="17">
        <v>35379</v>
      </c>
      <c r="F1110" s="18" t="str">
        <f t="shared" si="17"/>
        <v>PEPE1996_Noviembre</v>
      </c>
      <c r="G1110" s="10" t="s">
        <v>1410</v>
      </c>
      <c r="H1110" s="3">
        <v>4.1665000000000001</v>
      </c>
      <c r="I1110" s="3">
        <v>-77.68483333333333</v>
      </c>
      <c r="J1110" s="12">
        <v>13</v>
      </c>
      <c r="K1110" s="12">
        <v>27.7</v>
      </c>
      <c r="L1110" s="4">
        <v>8</v>
      </c>
      <c r="M1110" s="5">
        <v>201</v>
      </c>
      <c r="N1110" s="5">
        <v>4295</v>
      </c>
      <c r="O1110" s="5">
        <v>13.421582049033029</v>
      </c>
      <c r="P1110" s="5">
        <v>3892.2587942195782</v>
      </c>
    </row>
    <row r="1111" spans="1:16">
      <c r="A1111" s="1" t="s">
        <v>1111</v>
      </c>
      <c r="B1111" s="1" t="s">
        <v>1075</v>
      </c>
      <c r="C1111" s="1">
        <v>1996</v>
      </c>
      <c r="D1111" s="1" t="s">
        <v>1713</v>
      </c>
      <c r="E1111" s="17">
        <v>35379</v>
      </c>
      <c r="F1111" s="18" t="str">
        <f t="shared" si="17"/>
        <v>PEPE1996_Noviembre</v>
      </c>
      <c r="G1111" s="10" t="s">
        <v>1677</v>
      </c>
      <c r="H1111" s="3">
        <v>3.9993333333333334</v>
      </c>
      <c r="I1111" s="3">
        <v>-77.403000000000006</v>
      </c>
      <c r="J1111" s="12">
        <v>23</v>
      </c>
      <c r="K1111" s="12">
        <v>28.3</v>
      </c>
      <c r="L1111" s="4">
        <v>12.5</v>
      </c>
      <c r="M1111" s="5">
        <v>84</v>
      </c>
      <c r="N1111" s="5">
        <v>769</v>
      </c>
      <c r="O1111" s="5">
        <v>20.984061849599001</v>
      </c>
      <c r="P1111" s="5">
        <v>543.67796610324694</v>
      </c>
    </row>
    <row r="1112" spans="1:16">
      <c r="A1112" s="1" t="s">
        <v>1112</v>
      </c>
      <c r="B1112" s="1" t="s">
        <v>1075</v>
      </c>
      <c r="C1112" s="1">
        <v>1996</v>
      </c>
      <c r="D1112" s="1" t="s">
        <v>1713</v>
      </c>
      <c r="E1112" s="17">
        <v>35372</v>
      </c>
      <c r="F1112" s="18" t="str">
        <f t="shared" si="17"/>
        <v>PEPE1996_Noviembre</v>
      </c>
      <c r="G1112" s="10" t="s">
        <v>1415</v>
      </c>
      <c r="H1112" s="3">
        <v>3.9981666666666666</v>
      </c>
      <c r="I1112" s="3">
        <v>-77.747833333333332</v>
      </c>
      <c r="J1112" s="12">
        <v>28</v>
      </c>
      <c r="K1112" s="12">
        <v>27.4</v>
      </c>
      <c r="L1112" s="4">
        <v>6</v>
      </c>
      <c r="M1112" s="5">
        <v>149</v>
      </c>
      <c r="N1112" s="5">
        <v>273</v>
      </c>
      <c r="O1112" s="5">
        <v>0</v>
      </c>
      <c r="P1112" s="5">
        <v>37.199324282016413</v>
      </c>
    </row>
    <row r="1113" spans="1:16">
      <c r="A1113" s="1" t="s">
        <v>1113</v>
      </c>
      <c r="B1113" s="1" t="s">
        <v>1075</v>
      </c>
      <c r="C1113" s="1">
        <v>1996</v>
      </c>
      <c r="D1113" s="1" t="s">
        <v>1713</v>
      </c>
      <c r="E1113" s="17">
        <v>35379</v>
      </c>
      <c r="F1113" s="18" t="str">
        <f t="shared" si="17"/>
        <v>PEPE1996_Noviembre</v>
      </c>
      <c r="G1113" s="10" t="s">
        <v>1645</v>
      </c>
      <c r="H1113" s="3">
        <v>3.8340000000000001</v>
      </c>
      <c r="I1113" s="3">
        <v>-77.382666666666665</v>
      </c>
      <c r="J1113" s="12">
        <v>25</v>
      </c>
      <c r="K1113" s="12">
        <v>27.6</v>
      </c>
      <c r="L1113" s="4">
        <v>16</v>
      </c>
      <c r="M1113" s="5">
        <v>434</v>
      </c>
      <c r="N1113" s="5">
        <v>249</v>
      </c>
      <c r="O1113" s="5">
        <v>16.705246691978228</v>
      </c>
      <c r="P1113" s="5">
        <v>44.547324511941945</v>
      </c>
    </row>
    <row r="1114" spans="1:16">
      <c r="A1114" s="1" t="s">
        <v>1114</v>
      </c>
      <c r="B1114" s="1" t="s">
        <v>1075</v>
      </c>
      <c r="C1114" s="1">
        <v>1996</v>
      </c>
      <c r="D1114" s="1" t="s">
        <v>1713</v>
      </c>
      <c r="E1114" s="17">
        <v>35372</v>
      </c>
      <c r="F1114" s="18" t="str">
        <f t="shared" si="17"/>
        <v>PEPE1996_Noviembre</v>
      </c>
      <c r="G1114" s="10" t="s">
        <v>1419</v>
      </c>
      <c r="H1114" s="3">
        <v>3.8365</v>
      </c>
      <c r="I1114" s="3">
        <v>-77.476166666666671</v>
      </c>
      <c r="J1114" s="12">
        <v>26</v>
      </c>
      <c r="K1114" s="12">
        <v>27.5</v>
      </c>
      <c r="L1114" s="4">
        <v>4</v>
      </c>
      <c r="M1114" s="5">
        <v>10</v>
      </c>
      <c r="N1114" s="5">
        <v>181</v>
      </c>
      <c r="O1114" s="5">
        <v>0</v>
      </c>
      <c r="P1114" s="5">
        <v>3.1770776642353766</v>
      </c>
    </row>
    <row r="1115" spans="1:16">
      <c r="A1115" s="1" t="s">
        <v>1115</v>
      </c>
      <c r="B1115" s="1" t="s">
        <v>1075</v>
      </c>
      <c r="C1115" s="1">
        <v>1996</v>
      </c>
      <c r="D1115" s="1" t="s">
        <v>1713</v>
      </c>
      <c r="E1115" s="17">
        <v>35349</v>
      </c>
      <c r="F1115" s="18" t="str">
        <f t="shared" si="17"/>
        <v>PEPE1996_Noviembre</v>
      </c>
      <c r="G1115" s="10" t="s">
        <v>1420</v>
      </c>
      <c r="H1115" s="3">
        <v>3.8330000000000002</v>
      </c>
      <c r="I1115" s="3">
        <v>-77.599833333333336</v>
      </c>
      <c r="J1115" s="12">
        <v>23</v>
      </c>
      <c r="K1115" s="12">
        <v>27.9</v>
      </c>
      <c r="L1115" s="4">
        <v>11</v>
      </c>
      <c r="M1115" s="5">
        <v>214</v>
      </c>
      <c r="N1115" s="5">
        <v>1519</v>
      </c>
      <c r="O1115" s="5">
        <v>0</v>
      </c>
      <c r="P1115" s="5">
        <v>1008.3831512402941</v>
      </c>
    </row>
    <row r="1116" spans="1:16">
      <c r="A1116" s="1" t="s">
        <v>1116</v>
      </c>
      <c r="B1116" s="1" t="s">
        <v>1075</v>
      </c>
      <c r="C1116" s="1">
        <v>1996</v>
      </c>
      <c r="D1116" s="1" t="s">
        <v>1713</v>
      </c>
      <c r="E1116" s="17">
        <v>35379</v>
      </c>
      <c r="F1116" s="18" t="str">
        <f t="shared" si="17"/>
        <v>PEPE1996_Noviembre</v>
      </c>
      <c r="G1116" s="10" t="s">
        <v>1516</v>
      </c>
      <c r="H1116" s="3">
        <v>3.8358333333333334</v>
      </c>
      <c r="I1116" s="3">
        <v>-77.763833333333338</v>
      </c>
      <c r="J1116" s="12">
        <v>22</v>
      </c>
      <c r="K1116" s="12">
        <v>28.2</v>
      </c>
      <c r="L1116" s="4">
        <v>16</v>
      </c>
      <c r="M1116" s="5">
        <v>414</v>
      </c>
      <c r="N1116" s="5">
        <v>919</v>
      </c>
      <c r="O1116" s="5">
        <v>0</v>
      </c>
      <c r="P1116" s="5">
        <v>504.76908478173499</v>
      </c>
    </row>
    <row r="1117" spans="1:16">
      <c r="A1117" s="1" t="s">
        <v>1117</v>
      </c>
      <c r="B1117" s="1" t="s">
        <v>1075</v>
      </c>
      <c r="C1117" s="1">
        <v>1996</v>
      </c>
      <c r="D1117" s="1" t="s">
        <v>1713</v>
      </c>
      <c r="E1117" s="17">
        <v>35380</v>
      </c>
      <c r="F1117" s="18" t="str">
        <f t="shared" si="17"/>
        <v>PEPE1996_Noviembre</v>
      </c>
      <c r="G1117" s="10" t="s">
        <v>1424</v>
      </c>
      <c r="H1117" s="3">
        <v>3.6666666666666665</v>
      </c>
      <c r="I1117" s="3">
        <v>-77.341166666666666</v>
      </c>
      <c r="J1117" s="12">
        <v>17</v>
      </c>
      <c r="K1117" s="12">
        <v>28.1</v>
      </c>
      <c r="L1117" s="4">
        <v>4.5</v>
      </c>
      <c r="M1117" s="5">
        <v>1174</v>
      </c>
      <c r="N1117" s="5">
        <v>529</v>
      </c>
      <c r="O1117" s="5">
        <v>16.745208452464603</v>
      </c>
      <c r="P1117" s="5">
        <v>413.60664877587567</v>
      </c>
    </row>
    <row r="1118" spans="1:16">
      <c r="A1118" s="1" t="s">
        <v>1118</v>
      </c>
      <c r="B1118" s="1" t="s">
        <v>1075</v>
      </c>
      <c r="C1118" s="1">
        <v>1996</v>
      </c>
      <c r="D1118" s="1" t="s">
        <v>1713</v>
      </c>
      <c r="E1118" s="17">
        <v>35380</v>
      </c>
      <c r="F1118" s="18" t="str">
        <f t="shared" si="17"/>
        <v>PEPE1996_Noviembre</v>
      </c>
      <c r="G1118" s="10" t="s">
        <v>1425</v>
      </c>
      <c r="H1118" s="3">
        <v>3.6661666666666668</v>
      </c>
      <c r="I1118" s="3">
        <v>-77.501833333333337</v>
      </c>
      <c r="J1118" s="12">
        <v>25</v>
      </c>
      <c r="K1118" s="12">
        <v>28</v>
      </c>
      <c r="L1118" s="4">
        <v>16</v>
      </c>
      <c r="M1118" s="5">
        <v>0</v>
      </c>
      <c r="N1118" s="5">
        <v>841</v>
      </c>
      <c r="O1118" s="1">
        <v>0</v>
      </c>
      <c r="P1118" s="5">
        <v>565.35204488909301</v>
      </c>
    </row>
    <row r="1119" spans="1:16">
      <c r="A1119" s="1" t="s">
        <v>1119</v>
      </c>
      <c r="B1119" s="1" t="s">
        <v>1075</v>
      </c>
      <c r="C1119" s="1">
        <v>1996</v>
      </c>
      <c r="D1119" s="1" t="s">
        <v>1713</v>
      </c>
      <c r="E1119" s="17">
        <v>35381</v>
      </c>
      <c r="F1119" s="18" t="str">
        <f t="shared" si="17"/>
        <v>PEPE1996_Noviembre</v>
      </c>
      <c r="G1119" s="10" t="s">
        <v>1648</v>
      </c>
      <c r="H1119" s="3">
        <v>3.5061666666666667</v>
      </c>
      <c r="I1119" s="3">
        <v>-77.453333333333333</v>
      </c>
      <c r="J1119" s="12">
        <v>27</v>
      </c>
      <c r="K1119" s="12">
        <v>27.8</v>
      </c>
      <c r="L1119" s="4">
        <v>24</v>
      </c>
      <c r="M1119" s="5">
        <v>169</v>
      </c>
      <c r="N1119" s="5">
        <v>1176</v>
      </c>
      <c r="O1119" s="5">
        <v>100.87871685892978</v>
      </c>
      <c r="P1119" s="5">
        <v>942.69421616448165</v>
      </c>
    </row>
    <row r="1120" spans="1:16">
      <c r="A1120" s="1" t="s">
        <v>1120</v>
      </c>
      <c r="B1120" s="1" t="s">
        <v>1075</v>
      </c>
      <c r="C1120" s="1">
        <v>1996</v>
      </c>
      <c r="D1120" s="1" t="s">
        <v>1713</v>
      </c>
      <c r="E1120" s="17">
        <v>35381</v>
      </c>
      <c r="F1120" s="18" t="str">
        <f t="shared" si="17"/>
        <v>PEPE1996_Noviembre</v>
      </c>
      <c r="G1120" s="10" t="s">
        <v>1430</v>
      </c>
      <c r="H1120" s="3">
        <v>3.5003333333333333</v>
      </c>
      <c r="I1120" s="3">
        <v>-77.668166666666664</v>
      </c>
      <c r="J1120" s="12">
        <v>30</v>
      </c>
      <c r="K1120" s="12">
        <v>27.4</v>
      </c>
      <c r="L1120" s="4">
        <v>14</v>
      </c>
      <c r="M1120" s="5">
        <v>108</v>
      </c>
      <c r="N1120" s="5">
        <v>833</v>
      </c>
      <c r="O1120" s="5">
        <v>0</v>
      </c>
      <c r="P1120" s="5">
        <v>133.90694811778096</v>
      </c>
    </row>
    <row r="1121" spans="1:16">
      <c r="A1121" s="1" t="s">
        <v>1121</v>
      </c>
      <c r="B1121" s="1" t="s">
        <v>1075</v>
      </c>
      <c r="C1121" s="1">
        <v>1996</v>
      </c>
      <c r="D1121" s="1" t="s">
        <v>1713</v>
      </c>
      <c r="E1121" s="17">
        <v>35381</v>
      </c>
      <c r="F1121" s="18" t="str">
        <f t="shared" si="17"/>
        <v>PEPE1996_Noviembre</v>
      </c>
      <c r="G1121" s="10" t="s">
        <v>1678</v>
      </c>
      <c r="H1121" s="3">
        <v>3.5001666666666669</v>
      </c>
      <c r="I1121" s="3">
        <v>-77.834333333333333</v>
      </c>
      <c r="J1121" s="12">
        <v>29</v>
      </c>
      <c r="K1121" s="12">
        <v>27.3</v>
      </c>
      <c r="L1121" s="4">
        <v>21</v>
      </c>
      <c r="M1121" s="5">
        <v>109</v>
      </c>
      <c r="N1121" s="5">
        <v>453</v>
      </c>
      <c r="O1121" s="5">
        <v>0</v>
      </c>
      <c r="P1121" s="5">
        <v>54.689956991493297</v>
      </c>
    </row>
    <row r="1122" spans="1:16">
      <c r="A1122" s="1" t="s">
        <v>1122</v>
      </c>
      <c r="B1122" s="1" t="s">
        <v>1075</v>
      </c>
      <c r="C1122" s="1">
        <v>1996</v>
      </c>
      <c r="D1122" s="1" t="s">
        <v>1713</v>
      </c>
      <c r="E1122" s="17">
        <v>35382</v>
      </c>
      <c r="F1122" s="18" t="str">
        <f t="shared" si="17"/>
        <v>PEPE1996_Noviembre</v>
      </c>
      <c r="G1122" s="10" t="s">
        <v>1650</v>
      </c>
      <c r="H1122" s="3">
        <v>3.335</v>
      </c>
      <c r="I1122" s="3">
        <v>-77.599999999999994</v>
      </c>
      <c r="J1122" s="12">
        <v>28</v>
      </c>
      <c r="K1122" s="12">
        <v>27.2</v>
      </c>
      <c r="L1122" s="4">
        <v>15</v>
      </c>
      <c r="M1122" s="5">
        <v>151</v>
      </c>
      <c r="N1122" s="5">
        <v>422</v>
      </c>
      <c r="O1122" s="5">
        <v>148.92066923722956</v>
      </c>
      <c r="P1122" s="5">
        <v>226.81763468439581</v>
      </c>
    </row>
    <row r="1123" spans="1:16">
      <c r="A1123" s="1" t="s">
        <v>1123</v>
      </c>
      <c r="B1123" s="1" t="s">
        <v>1075</v>
      </c>
      <c r="C1123" s="1">
        <v>1996</v>
      </c>
      <c r="D1123" s="1" t="s">
        <v>1713</v>
      </c>
      <c r="E1123" s="17">
        <v>35382</v>
      </c>
      <c r="F1123" s="18" t="str">
        <f t="shared" si="17"/>
        <v>PEPE1996_Noviembre</v>
      </c>
      <c r="G1123" s="10" t="s">
        <v>1435</v>
      </c>
      <c r="H1123" s="3">
        <v>3.3181666666666665</v>
      </c>
      <c r="I1123" s="3">
        <v>-77.80383333333333</v>
      </c>
      <c r="J1123" s="12">
        <v>30</v>
      </c>
      <c r="K1123" s="12">
        <v>27.3</v>
      </c>
      <c r="L1123" s="4">
        <v>6</v>
      </c>
      <c r="M1123" s="5">
        <v>252</v>
      </c>
      <c r="N1123" s="5">
        <v>1333</v>
      </c>
      <c r="O1123" s="5">
        <v>0</v>
      </c>
      <c r="P1123" s="5">
        <v>528.47130524355259</v>
      </c>
    </row>
    <row r="1124" spans="1:16">
      <c r="A1124" s="1" t="s">
        <v>1124</v>
      </c>
      <c r="B1124" s="1" t="s">
        <v>1075</v>
      </c>
      <c r="C1124" s="1">
        <v>1996</v>
      </c>
      <c r="D1124" s="1" t="s">
        <v>1713</v>
      </c>
      <c r="E1124" s="17">
        <v>35391</v>
      </c>
      <c r="F1124" s="18" t="str">
        <f t="shared" si="17"/>
        <v>PEPE1996_Noviembre</v>
      </c>
      <c r="G1124" s="10" t="s">
        <v>1436</v>
      </c>
      <c r="H1124" s="3">
        <v>3.3369999999999997</v>
      </c>
      <c r="I1124" s="3">
        <v>-78.13333333333334</v>
      </c>
      <c r="J1124" s="12">
        <v>30</v>
      </c>
      <c r="K1124" s="12">
        <v>26.9</v>
      </c>
      <c r="L1124" s="4">
        <v>20</v>
      </c>
      <c r="M1124" s="5">
        <v>863</v>
      </c>
      <c r="N1124" s="5">
        <v>313</v>
      </c>
      <c r="O1124" s="5">
        <v>0</v>
      </c>
      <c r="P1124" s="5">
        <v>0</v>
      </c>
    </row>
    <row r="1125" spans="1:16">
      <c r="A1125" s="1" t="s">
        <v>1125</v>
      </c>
      <c r="B1125" s="1" t="s">
        <v>1075</v>
      </c>
      <c r="C1125" s="1">
        <v>1996</v>
      </c>
      <c r="D1125" s="1" t="s">
        <v>1713</v>
      </c>
      <c r="E1125" s="17">
        <v>35382</v>
      </c>
      <c r="F1125" s="18" t="str">
        <f t="shared" si="17"/>
        <v>PEPE1996_Noviembre</v>
      </c>
      <c r="G1125" s="10" t="s">
        <v>1679</v>
      </c>
      <c r="H1125" s="3">
        <v>3.1673333333333331</v>
      </c>
      <c r="I1125" s="3">
        <v>-77.700999999999993</v>
      </c>
      <c r="J1125" s="12">
        <v>28</v>
      </c>
      <c r="K1125" s="12">
        <v>27.3</v>
      </c>
      <c r="L1125" s="4">
        <v>128.98498332059063</v>
      </c>
      <c r="M1125" s="5">
        <v>107</v>
      </c>
      <c r="N1125" s="5">
        <v>417</v>
      </c>
      <c r="O1125" s="5">
        <v>54.142736598651133</v>
      </c>
      <c r="P1125" s="5">
        <v>233.1145603553035</v>
      </c>
    </row>
    <row r="1126" spans="1:16">
      <c r="A1126" s="1" t="s">
        <v>1126</v>
      </c>
      <c r="B1126" s="1" t="s">
        <v>1075</v>
      </c>
      <c r="C1126" s="1">
        <v>1996</v>
      </c>
      <c r="D1126" s="1" t="s">
        <v>1713</v>
      </c>
      <c r="E1126" s="17">
        <v>35382</v>
      </c>
      <c r="F1126" s="18" t="str">
        <f t="shared" si="17"/>
        <v>PEPE1996_Noviembre</v>
      </c>
      <c r="G1126" s="10" t="s">
        <v>1440</v>
      </c>
      <c r="H1126" s="3">
        <v>3.1616666666666666</v>
      </c>
      <c r="I1126" s="3">
        <v>-77.899833333333333</v>
      </c>
      <c r="J1126" s="12">
        <v>28</v>
      </c>
      <c r="K1126" s="12">
        <v>27.3</v>
      </c>
      <c r="L1126" s="4">
        <v>16</v>
      </c>
      <c r="M1126" s="5">
        <v>174</v>
      </c>
      <c r="N1126" s="5">
        <v>567</v>
      </c>
      <c r="O1126" s="5">
        <v>2.7644376638099537</v>
      </c>
      <c r="P1126" s="5">
        <v>93.990880569538433</v>
      </c>
    </row>
    <row r="1127" spans="1:16">
      <c r="A1127" s="1" t="s">
        <v>1127</v>
      </c>
      <c r="B1127" s="1" t="s">
        <v>1075</v>
      </c>
      <c r="C1127" s="1">
        <v>1996</v>
      </c>
      <c r="D1127" s="1" t="s">
        <v>1713</v>
      </c>
      <c r="E1127" s="17">
        <v>35382</v>
      </c>
      <c r="F1127" s="18" t="str">
        <f t="shared" si="17"/>
        <v>PEPE1996_Noviembre</v>
      </c>
      <c r="G1127" s="10" t="s">
        <v>1518</v>
      </c>
      <c r="H1127" s="3">
        <v>3.1688333333333332</v>
      </c>
      <c r="I1127" s="3">
        <v>-77.062333333333328</v>
      </c>
      <c r="J1127" s="12">
        <v>30</v>
      </c>
      <c r="K1127" s="12">
        <v>27.3</v>
      </c>
      <c r="L1127" s="4">
        <v>13</v>
      </c>
      <c r="M1127" s="5">
        <v>665</v>
      </c>
      <c r="N1127" s="5">
        <v>336</v>
      </c>
      <c r="O1127" s="5">
        <v>0</v>
      </c>
      <c r="P1127" s="5">
        <v>72.095096477906594</v>
      </c>
    </row>
    <row r="1128" spans="1:16">
      <c r="A1128" s="1" t="s">
        <v>1128</v>
      </c>
      <c r="B1128" s="1" t="s">
        <v>1075</v>
      </c>
      <c r="C1128" s="1">
        <v>1996</v>
      </c>
      <c r="D1128" s="1" t="s">
        <v>1713</v>
      </c>
      <c r="E1128" s="17">
        <v>35383</v>
      </c>
      <c r="F1128" s="18" t="str">
        <f t="shared" si="17"/>
        <v>PEPE1996_Noviembre</v>
      </c>
      <c r="G1128" s="10" t="s">
        <v>1654</v>
      </c>
      <c r="H1128" s="3">
        <v>3.0016666666666665</v>
      </c>
      <c r="I1128" s="3">
        <v>-77.800333333333327</v>
      </c>
      <c r="J1128" s="12">
        <v>28</v>
      </c>
      <c r="K1128" s="12">
        <v>27</v>
      </c>
      <c r="L1128" s="4">
        <v>11</v>
      </c>
      <c r="M1128" s="5">
        <v>80</v>
      </c>
      <c r="N1128" s="5">
        <v>873</v>
      </c>
      <c r="O1128" s="5">
        <v>4.8510696789146923</v>
      </c>
      <c r="P1128" s="5">
        <v>555.44747823573232</v>
      </c>
    </row>
    <row r="1129" spans="1:16">
      <c r="A1129" s="1" t="s">
        <v>1129</v>
      </c>
      <c r="B1129" s="1" t="s">
        <v>1075</v>
      </c>
      <c r="C1129" s="1">
        <v>1996</v>
      </c>
      <c r="D1129" s="1" t="s">
        <v>1713</v>
      </c>
      <c r="E1129" s="17">
        <v>35382</v>
      </c>
      <c r="F1129" s="18" t="str">
        <f t="shared" si="17"/>
        <v>PEPE1996_Noviembre</v>
      </c>
      <c r="G1129" s="10" t="s">
        <v>1445</v>
      </c>
      <c r="H1129" s="3">
        <v>2.9988333333333332</v>
      </c>
      <c r="I1129" s="3">
        <v>-78.016833333333338</v>
      </c>
      <c r="J1129" s="12">
        <v>29</v>
      </c>
      <c r="K1129" s="12">
        <v>27.1</v>
      </c>
      <c r="L1129" s="4">
        <v>17</v>
      </c>
      <c r="M1129" s="5">
        <v>16</v>
      </c>
      <c r="N1129" s="5">
        <v>941</v>
      </c>
      <c r="O1129" s="5">
        <v>0</v>
      </c>
      <c r="P1129" s="5">
        <v>239.32131775269025</v>
      </c>
    </row>
    <row r="1130" spans="1:16">
      <c r="A1130" s="1" t="s">
        <v>1130</v>
      </c>
      <c r="B1130" s="1" t="s">
        <v>1075</v>
      </c>
      <c r="C1130" s="1">
        <v>1996</v>
      </c>
      <c r="D1130" s="1" t="s">
        <v>1713</v>
      </c>
      <c r="E1130" s="17">
        <v>35382</v>
      </c>
      <c r="F1130" s="18" t="str">
        <f t="shared" si="17"/>
        <v>PEPE1996_Noviembre</v>
      </c>
      <c r="G1130" s="10" t="s">
        <v>1680</v>
      </c>
      <c r="H1130" s="3">
        <v>3.0095000000000001</v>
      </c>
      <c r="I1130" s="3">
        <v>-78.19883333333334</v>
      </c>
      <c r="J1130" s="12">
        <v>30</v>
      </c>
      <c r="K1130" s="12">
        <v>27.2</v>
      </c>
      <c r="L1130" s="4">
        <v>10</v>
      </c>
      <c r="M1130" s="5">
        <v>132</v>
      </c>
      <c r="N1130" s="5">
        <v>1179</v>
      </c>
      <c r="O1130" s="5">
        <v>0</v>
      </c>
      <c r="P1130" s="5">
        <v>468.86720378071402</v>
      </c>
    </row>
    <row r="1131" spans="1:16">
      <c r="A1131" s="1" t="s">
        <v>1131</v>
      </c>
      <c r="B1131" s="1" t="s">
        <v>1075</v>
      </c>
      <c r="C1131" s="1">
        <v>1996</v>
      </c>
      <c r="D1131" s="1" t="s">
        <v>1713</v>
      </c>
      <c r="E1131" s="17">
        <v>35384</v>
      </c>
      <c r="F1131" s="18" t="str">
        <f t="shared" si="17"/>
        <v>PEPE1996_Noviembre</v>
      </c>
      <c r="G1131" s="10" t="s">
        <v>1681</v>
      </c>
      <c r="H1131" s="3">
        <v>2.8330000000000002</v>
      </c>
      <c r="I1131" s="3">
        <v>-78.167000000000002</v>
      </c>
      <c r="J1131" s="12">
        <v>30</v>
      </c>
      <c r="K1131" s="12">
        <v>26.8</v>
      </c>
      <c r="L1131" s="4">
        <v>23</v>
      </c>
      <c r="M1131" s="5">
        <v>78</v>
      </c>
      <c r="N1131" s="5">
        <v>131</v>
      </c>
      <c r="O1131" s="5">
        <v>1.4709886000174268</v>
      </c>
      <c r="P1131" s="5">
        <v>30.890760600365962</v>
      </c>
    </row>
    <row r="1132" spans="1:16">
      <c r="A1132" s="1" t="s">
        <v>1132</v>
      </c>
      <c r="B1132" s="1" t="s">
        <v>1075</v>
      </c>
      <c r="C1132" s="1">
        <v>1996</v>
      </c>
      <c r="D1132" s="1" t="s">
        <v>1713</v>
      </c>
      <c r="E1132" s="17">
        <v>35384</v>
      </c>
      <c r="F1132" s="18" t="str">
        <f t="shared" si="17"/>
        <v>PEPE1996_Noviembre</v>
      </c>
      <c r="G1132" s="10" t="s">
        <v>1658</v>
      </c>
      <c r="H1132" s="3">
        <v>2.8361666666666667</v>
      </c>
      <c r="I1132" s="3">
        <v>-78.299333333333337</v>
      </c>
      <c r="J1132" s="12">
        <v>30</v>
      </c>
      <c r="K1132" s="12">
        <v>27</v>
      </c>
      <c r="L1132" s="4">
        <v>10</v>
      </c>
      <c r="M1132" s="5">
        <v>6</v>
      </c>
      <c r="N1132" s="5">
        <v>934</v>
      </c>
      <c r="O1132" s="5">
        <v>0</v>
      </c>
      <c r="P1132" s="5">
        <v>146.56658789440547</v>
      </c>
    </row>
    <row r="1133" spans="1:16">
      <c r="A1133" s="1" t="s">
        <v>1133</v>
      </c>
      <c r="B1133" s="1" t="s">
        <v>1075</v>
      </c>
      <c r="C1133" s="1">
        <v>1996</v>
      </c>
      <c r="D1133" s="1" t="s">
        <v>1713</v>
      </c>
      <c r="E1133" s="17">
        <v>35384</v>
      </c>
      <c r="F1133" s="18" t="str">
        <f t="shared" si="17"/>
        <v>PEPE1996_Noviembre</v>
      </c>
      <c r="G1133" s="10" t="s">
        <v>1682</v>
      </c>
      <c r="H1133" s="3">
        <v>2.7106666666666666</v>
      </c>
      <c r="I1133" s="3">
        <v>-78.440666666666672</v>
      </c>
      <c r="J1133" s="12">
        <v>29</v>
      </c>
      <c r="K1133" s="12">
        <v>26.8</v>
      </c>
      <c r="L1133" s="4">
        <v>20</v>
      </c>
      <c r="M1133" s="5">
        <v>8</v>
      </c>
      <c r="N1133" s="5">
        <v>731</v>
      </c>
      <c r="O1133" s="5">
        <v>0</v>
      </c>
      <c r="P1133" s="5">
        <v>305.20229482167201</v>
      </c>
    </row>
    <row r="1134" spans="1:16">
      <c r="A1134" s="1" t="s">
        <v>1134</v>
      </c>
      <c r="B1134" s="1" t="s">
        <v>1075</v>
      </c>
      <c r="C1134" s="1">
        <v>1996</v>
      </c>
      <c r="D1134" s="1" t="s">
        <v>1713</v>
      </c>
      <c r="E1134" s="17">
        <v>35384</v>
      </c>
      <c r="F1134" s="18" t="str">
        <f t="shared" si="17"/>
        <v>PEPE1996_Noviembre</v>
      </c>
      <c r="G1134" s="10" t="s">
        <v>1454</v>
      </c>
      <c r="H1134" s="3">
        <v>2.6684999999999999</v>
      </c>
      <c r="I1134" s="3">
        <v>-78.632833333333338</v>
      </c>
      <c r="J1134" s="12">
        <v>30</v>
      </c>
      <c r="K1134" s="12">
        <v>26.8</v>
      </c>
      <c r="L1134" s="4">
        <v>14</v>
      </c>
      <c r="M1134" s="5">
        <v>390</v>
      </c>
      <c r="N1134" s="5">
        <v>2729</v>
      </c>
      <c r="O1134" s="5">
        <v>0</v>
      </c>
      <c r="P1134" s="5">
        <v>17.32382609464625</v>
      </c>
    </row>
    <row r="1135" spans="1:16">
      <c r="A1135" s="1" t="s">
        <v>1135</v>
      </c>
      <c r="B1135" s="1" t="s">
        <v>1075</v>
      </c>
      <c r="C1135" s="1">
        <v>1996</v>
      </c>
      <c r="D1135" s="1" t="s">
        <v>1713</v>
      </c>
      <c r="E1135" s="17">
        <v>35385</v>
      </c>
      <c r="F1135" s="18" t="str">
        <f t="shared" si="17"/>
        <v>PEPE1996_Noviembre</v>
      </c>
      <c r="G1135" s="10" t="s">
        <v>1683</v>
      </c>
      <c r="H1135" s="3">
        <v>2.4991666666666665</v>
      </c>
      <c r="I1135" s="3">
        <v>-78.596166666666662</v>
      </c>
      <c r="J1135" s="12">
        <v>31</v>
      </c>
      <c r="K1135" s="12">
        <v>27</v>
      </c>
      <c r="L1135" s="4">
        <v>205.38723824916349</v>
      </c>
      <c r="M1135" s="5">
        <v>155</v>
      </c>
      <c r="N1135" s="5">
        <v>1909</v>
      </c>
      <c r="O1135" s="5">
        <v>22.592596207407986</v>
      </c>
      <c r="P1135" s="5">
        <v>1036.4353510148414</v>
      </c>
    </row>
    <row r="1136" spans="1:16">
      <c r="A1136" s="1" t="s">
        <v>1136</v>
      </c>
      <c r="B1136" s="1" t="s">
        <v>1075</v>
      </c>
      <c r="C1136" s="1">
        <v>1996</v>
      </c>
      <c r="D1136" s="1" t="s">
        <v>1713</v>
      </c>
      <c r="E1136" s="17">
        <v>35385</v>
      </c>
      <c r="F1136" s="18" t="str">
        <f t="shared" si="17"/>
        <v>PEPE1996_Noviembre</v>
      </c>
      <c r="G1136" s="10" t="s">
        <v>1459</v>
      </c>
      <c r="H1136" s="3">
        <v>2.4986666666666668</v>
      </c>
      <c r="I1136" s="3">
        <v>-78.856166666666667</v>
      </c>
      <c r="J1136" s="12">
        <v>31</v>
      </c>
      <c r="K1136" s="12">
        <v>27</v>
      </c>
      <c r="L1136" s="4">
        <v>18</v>
      </c>
      <c r="M1136" s="5">
        <v>973</v>
      </c>
      <c r="N1136" s="5">
        <v>6461</v>
      </c>
      <c r="O1136" s="5">
        <v>0</v>
      </c>
      <c r="P1136" s="5">
        <v>122.87811484996678</v>
      </c>
    </row>
    <row r="1137" spans="1:16">
      <c r="A1137" s="1" t="s">
        <v>1137</v>
      </c>
      <c r="B1137" s="1" t="s">
        <v>1075</v>
      </c>
      <c r="C1137" s="1">
        <v>1996</v>
      </c>
      <c r="D1137" s="1" t="s">
        <v>1713</v>
      </c>
      <c r="E1137" s="17">
        <v>35390</v>
      </c>
      <c r="F1137" s="18" t="str">
        <f t="shared" si="17"/>
        <v>PEPE1996_Noviembre</v>
      </c>
      <c r="G1137" s="10" t="s">
        <v>1690</v>
      </c>
      <c r="H1137" s="3">
        <v>2.5024999999999999</v>
      </c>
      <c r="I1137" s="3">
        <v>-79.01733333333334</v>
      </c>
      <c r="J1137" s="12">
        <v>32</v>
      </c>
      <c r="K1137" s="12">
        <v>27.2</v>
      </c>
      <c r="L1137" s="4">
        <v>10</v>
      </c>
      <c r="M1137" s="5">
        <v>958</v>
      </c>
      <c r="N1137" s="5">
        <v>3043</v>
      </c>
      <c r="O1137" s="5">
        <v>0</v>
      </c>
      <c r="P1137" s="5">
        <v>28.174902237811285</v>
      </c>
    </row>
    <row r="1138" spans="1:16">
      <c r="A1138" s="1" t="s">
        <v>1138</v>
      </c>
      <c r="B1138" s="1" t="s">
        <v>1075</v>
      </c>
      <c r="C1138" s="1">
        <v>1996</v>
      </c>
      <c r="D1138" s="1" t="s">
        <v>1713</v>
      </c>
      <c r="E1138" s="17">
        <v>35385</v>
      </c>
      <c r="F1138" s="18" t="str">
        <f t="shared" si="17"/>
        <v>PEPE1996_Noviembre</v>
      </c>
      <c r="G1138" s="10" t="s">
        <v>1664</v>
      </c>
      <c r="H1138" s="3">
        <v>2.3281666666666667</v>
      </c>
      <c r="I1138" s="3">
        <v>-78.6875</v>
      </c>
      <c r="J1138" s="12">
        <v>30</v>
      </c>
      <c r="K1138" s="12">
        <v>26.8</v>
      </c>
      <c r="L1138" s="4">
        <v>10</v>
      </c>
      <c r="M1138" s="5">
        <v>384</v>
      </c>
      <c r="N1138" s="5">
        <v>629</v>
      </c>
      <c r="O1138" s="5">
        <v>221.09072975796477</v>
      </c>
      <c r="P1138" s="5">
        <v>375.85424058854011</v>
      </c>
    </row>
    <row r="1139" spans="1:16">
      <c r="A1139" s="1" t="s">
        <v>1139</v>
      </c>
      <c r="B1139" s="1" t="s">
        <v>1075</v>
      </c>
      <c r="C1139" s="1">
        <v>1996</v>
      </c>
      <c r="D1139" s="1" t="s">
        <v>1713</v>
      </c>
      <c r="E1139" s="17">
        <v>35385</v>
      </c>
      <c r="F1139" s="18" t="str">
        <f t="shared" si="17"/>
        <v>PEPE1996_Noviembre</v>
      </c>
      <c r="G1139" s="10" t="s">
        <v>1463</v>
      </c>
      <c r="H1139" s="3">
        <v>2.3318333333333334</v>
      </c>
      <c r="I1139" s="3">
        <v>-78.790999999999997</v>
      </c>
      <c r="J1139" s="12">
        <v>31</v>
      </c>
      <c r="K1139" s="12">
        <v>26.8</v>
      </c>
      <c r="L1139" s="4">
        <v>18.5</v>
      </c>
      <c r="M1139" s="5">
        <v>466</v>
      </c>
      <c r="N1139" s="5">
        <v>4107</v>
      </c>
      <c r="O1139" s="5">
        <v>0</v>
      </c>
      <c r="P1139" s="5">
        <v>1007.7165925953373</v>
      </c>
    </row>
    <row r="1140" spans="1:16">
      <c r="A1140" s="1" t="s">
        <v>1140</v>
      </c>
      <c r="B1140" s="1" t="s">
        <v>1075</v>
      </c>
      <c r="C1140" s="1">
        <v>1996</v>
      </c>
      <c r="D1140" s="1" t="s">
        <v>1713</v>
      </c>
      <c r="E1140" s="17">
        <v>35386</v>
      </c>
      <c r="F1140" s="18" t="str">
        <f t="shared" si="17"/>
        <v>PEPE1996_Noviembre</v>
      </c>
      <c r="G1140" s="10" t="s">
        <v>1466</v>
      </c>
      <c r="H1140" s="3">
        <v>2.1686666666666667</v>
      </c>
      <c r="I1140" s="3">
        <v>-78.760833333333338</v>
      </c>
      <c r="J1140" s="12">
        <v>30</v>
      </c>
      <c r="K1140" s="12">
        <v>27</v>
      </c>
      <c r="L1140" s="4">
        <v>20</v>
      </c>
      <c r="M1140" s="5">
        <v>71</v>
      </c>
      <c r="N1140" s="5">
        <v>502</v>
      </c>
      <c r="O1140" s="5">
        <v>1.8649923874497698</v>
      </c>
      <c r="P1140" s="5">
        <v>67.13972594819171</v>
      </c>
    </row>
    <row r="1141" spans="1:16">
      <c r="A1141" s="1" t="s">
        <v>1141</v>
      </c>
      <c r="B1141" s="1" t="s">
        <v>1075</v>
      </c>
      <c r="C1141" s="1">
        <v>1996</v>
      </c>
      <c r="D1141" s="1" t="s">
        <v>1713</v>
      </c>
      <c r="E1141" s="17">
        <v>35386</v>
      </c>
      <c r="F1141" s="18" t="str">
        <f t="shared" si="17"/>
        <v>PEPE1996_Noviembre</v>
      </c>
      <c r="G1141" s="10" t="s">
        <v>1468</v>
      </c>
      <c r="H1141" s="3">
        <v>2.1665000000000001</v>
      </c>
      <c r="I1141" s="3">
        <v>-78.855333333333334</v>
      </c>
      <c r="J1141" s="12">
        <v>29</v>
      </c>
      <c r="K1141" s="12">
        <v>26.8</v>
      </c>
      <c r="L1141" s="4">
        <v>57.894888093703216</v>
      </c>
      <c r="M1141" s="5">
        <v>156</v>
      </c>
      <c r="N1141" s="5">
        <v>1538</v>
      </c>
      <c r="O1141" s="5">
        <v>10.429002315237295</v>
      </c>
      <c r="P1141" s="5">
        <v>385.87308566377988</v>
      </c>
    </row>
    <row r="1142" spans="1:16">
      <c r="A1142" s="1" t="s">
        <v>1142</v>
      </c>
      <c r="B1142" s="1" t="s">
        <v>1075</v>
      </c>
      <c r="C1142" s="1">
        <v>1996</v>
      </c>
      <c r="D1142" s="1" t="s">
        <v>1713</v>
      </c>
      <c r="E1142" s="17">
        <v>35386</v>
      </c>
      <c r="F1142" s="18" t="str">
        <f t="shared" si="17"/>
        <v>PEPE1996_Noviembre</v>
      </c>
      <c r="G1142" s="10" t="s">
        <v>1472</v>
      </c>
      <c r="H1142" s="3">
        <v>1.9984999999999999</v>
      </c>
      <c r="I1142" s="3">
        <v>-78.739999999999995</v>
      </c>
      <c r="J1142" s="12">
        <v>30</v>
      </c>
      <c r="K1142" s="12">
        <v>26.9</v>
      </c>
      <c r="L1142" s="4">
        <v>18</v>
      </c>
      <c r="M1142" s="5">
        <v>897</v>
      </c>
      <c r="N1142" s="5">
        <v>277</v>
      </c>
      <c r="O1142" s="5">
        <v>167.85833651642474</v>
      </c>
      <c r="P1142" s="5">
        <v>153.47047910073121</v>
      </c>
    </row>
    <row r="1143" spans="1:16">
      <c r="A1143" s="1" t="s">
        <v>1143</v>
      </c>
      <c r="B1143" s="1" t="s">
        <v>1075</v>
      </c>
      <c r="C1143" s="1">
        <v>1996</v>
      </c>
      <c r="D1143" s="1" t="s">
        <v>1713</v>
      </c>
      <c r="E1143" s="17">
        <v>35388</v>
      </c>
      <c r="F1143" s="18" t="str">
        <f t="shared" si="17"/>
        <v>PEPE1996_Noviembre</v>
      </c>
      <c r="G1143" s="10" t="s">
        <v>1477</v>
      </c>
      <c r="H1143" s="3">
        <v>1.831</v>
      </c>
      <c r="I1143" s="3">
        <v>-78.909666666666666</v>
      </c>
      <c r="J1143" s="12">
        <v>32</v>
      </c>
      <c r="K1143" s="12">
        <v>27</v>
      </c>
      <c r="L1143" s="4">
        <v>30</v>
      </c>
      <c r="M1143" s="5">
        <v>293</v>
      </c>
      <c r="N1143" s="5">
        <v>1481</v>
      </c>
      <c r="O1143" s="5">
        <v>41.926467924398921</v>
      </c>
      <c r="P1143" s="5">
        <v>241.07719056529382</v>
      </c>
    </row>
    <row r="1144" spans="1:16">
      <c r="A1144" s="1" t="s">
        <v>1144</v>
      </c>
      <c r="B1144" s="1" t="s">
        <v>1075</v>
      </c>
      <c r="C1144" s="1">
        <v>1996</v>
      </c>
      <c r="D1144" s="1" t="s">
        <v>1713</v>
      </c>
      <c r="E1144" s="17">
        <v>35387</v>
      </c>
      <c r="F1144" s="18" t="str">
        <f t="shared" si="17"/>
        <v>PEPE1996_Noviembre</v>
      </c>
      <c r="G1144" s="10" t="s">
        <v>1668</v>
      </c>
      <c r="H1144" s="3">
        <v>1.6651666666666665</v>
      </c>
      <c r="I1144" s="3">
        <v>-78.058166666666665</v>
      </c>
      <c r="J1144" s="12">
        <v>32</v>
      </c>
      <c r="K1144" s="12">
        <v>26.9</v>
      </c>
      <c r="L1144" s="4">
        <v>15</v>
      </c>
      <c r="M1144" s="5">
        <v>1340</v>
      </c>
      <c r="N1144" s="5">
        <v>2021</v>
      </c>
      <c r="O1144" s="5">
        <v>1040.3002555746007</v>
      </c>
      <c r="P1144" s="5">
        <v>680.19632095262352</v>
      </c>
    </row>
    <row r="1145" spans="1:16">
      <c r="A1145" s="1" t="s">
        <v>1145</v>
      </c>
      <c r="B1145" s="1" t="s">
        <v>1075</v>
      </c>
      <c r="C1145" s="1">
        <v>1996</v>
      </c>
      <c r="D1145" s="1" t="s">
        <v>1713</v>
      </c>
      <c r="E1145" s="17">
        <v>35387</v>
      </c>
      <c r="F1145" s="18" t="str">
        <f t="shared" si="17"/>
        <v>PEPE1996_Noviembre</v>
      </c>
      <c r="G1145" s="10" t="s">
        <v>1578</v>
      </c>
      <c r="H1145" s="3">
        <v>1.6644999999999999</v>
      </c>
      <c r="I1145" s="3">
        <v>-79.17283333333333</v>
      </c>
      <c r="J1145" s="12">
        <v>32</v>
      </c>
      <c r="K1145" s="12">
        <v>26.9</v>
      </c>
      <c r="L1145" s="4">
        <v>24</v>
      </c>
      <c r="M1145" s="5">
        <v>583</v>
      </c>
      <c r="N1145" s="5">
        <v>1082</v>
      </c>
      <c r="O1145" s="5">
        <v>9.4100795246683937</v>
      </c>
      <c r="P1145" s="5">
        <v>338.76286288806216</v>
      </c>
    </row>
    <row r="1146" spans="1:16">
      <c r="A1146" s="1" t="s">
        <v>1146</v>
      </c>
      <c r="B1146" s="1" t="s">
        <v>1075</v>
      </c>
      <c r="C1146" s="1">
        <v>1996</v>
      </c>
      <c r="D1146" s="1" t="s">
        <v>1713</v>
      </c>
      <c r="E1146" s="17">
        <v>35387</v>
      </c>
      <c r="F1146" s="18" t="str">
        <f t="shared" si="17"/>
        <v>PEPE1996_Noviembre</v>
      </c>
      <c r="G1146" s="10" t="s">
        <v>1684</v>
      </c>
      <c r="H1146" s="3">
        <v>1.4946666666666666</v>
      </c>
      <c r="I1146" s="3">
        <v>-79.00866666666667</v>
      </c>
      <c r="J1146" s="12">
        <v>31</v>
      </c>
      <c r="K1146" s="12">
        <v>27.4</v>
      </c>
      <c r="L1146" s="4">
        <v>22</v>
      </c>
      <c r="M1146" s="5">
        <v>507</v>
      </c>
      <c r="N1146" s="5">
        <v>242</v>
      </c>
      <c r="O1146" s="5">
        <v>32.937841649112414</v>
      </c>
      <c r="P1146" s="5">
        <v>70.816359545591695</v>
      </c>
    </row>
    <row r="1147" spans="1:16">
      <c r="A1147" s="1" t="s">
        <v>1147</v>
      </c>
      <c r="B1147" s="1" t="s">
        <v>1075</v>
      </c>
      <c r="C1147" s="1">
        <v>1996</v>
      </c>
      <c r="D1147" s="1" t="s">
        <v>1713</v>
      </c>
      <c r="E1147" s="17">
        <v>35387</v>
      </c>
      <c r="F1147" s="18" t="str">
        <f t="shared" si="17"/>
        <v>PEPE1996_Noviembre</v>
      </c>
      <c r="G1147" s="10" t="s">
        <v>1581</v>
      </c>
      <c r="H1147" s="3">
        <v>1.498</v>
      </c>
      <c r="I1147" s="3">
        <v>-79.189166666666665</v>
      </c>
      <c r="J1147" s="12">
        <v>32</v>
      </c>
      <c r="K1147" s="12">
        <v>26.7</v>
      </c>
      <c r="L1147" s="4">
        <v>50</v>
      </c>
      <c r="M1147" s="5">
        <v>457</v>
      </c>
      <c r="N1147" s="5">
        <v>3871</v>
      </c>
      <c r="O1147" s="5">
        <v>0</v>
      </c>
      <c r="P1147" s="5">
        <v>1135.6677268034107</v>
      </c>
    </row>
    <row r="1148" spans="1:16">
      <c r="A1148" s="1" t="s">
        <v>1148</v>
      </c>
      <c r="B1148" s="1" t="s">
        <v>1075</v>
      </c>
      <c r="C1148" s="1">
        <v>1996</v>
      </c>
      <c r="D1148" s="1" t="s">
        <v>1713</v>
      </c>
      <c r="E1148" s="17">
        <v>35374</v>
      </c>
      <c r="F1148" s="18" t="str">
        <f t="shared" si="17"/>
        <v>PEPE1996_Noviembre</v>
      </c>
      <c r="G1148" s="1" t="s">
        <v>1538</v>
      </c>
      <c r="H1148" s="3">
        <v>6.5013333333333332</v>
      </c>
      <c r="I1148" s="3">
        <v>-77.033833333333334</v>
      </c>
      <c r="J1148" s="12">
        <v>28</v>
      </c>
      <c r="K1148" s="12">
        <v>28</v>
      </c>
      <c r="L1148" s="4">
        <v>36.9</v>
      </c>
      <c r="M1148" s="5">
        <v>0</v>
      </c>
      <c r="N1148" s="5">
        <v>15</v>
      </c>
      <c r="O1148" s="1">
        <v>0</v>
      </c>
      <c r="P1148" s="5">
        <v>0</v>
      </c>
    </row>
    <row r="1149" spans="1:16">
      <c r="A1149" s="1" t="s">
        <v>1149</v>
      </c>
      <c r="B1149" s="1" t="s">
        <v>1075</v>
      </c>
      <c r="C1149" s="1">
        <v>1996</v>
      </c>
      <c r="D1149" s="1" t="s">
        <v>1713</v>
      </c>
      <c r="E1149" s="17">
        <v>35374</v>
      </c>
      <c r="F1149" s="18" t="str">
        <f t="shared" si="17"/>
        <v>PEPE1996_Noviembre</v>
      </c>
      <c r="G1149" s="1" t="s">
        <v>1539</v>
      </c>
      <c r="H1149" s="3">
        <v>6.3348333333333331</v>
      </c>
      <c r="I1149" s="3">
        <v>-77.534000000000006</v>
      </c>
      <c r="J1149" s="12">
        <v>28</v>
      </c>
      <c r="K1149" s="12">
        <v>27.9</v>
      </c>
      <c r="L1149" s="4">
        <v>57.63</v>
      </c>
      <c r="M1149" s="5">
        <v>145</v>
      </c>
      <c r="N1149" s="5">
        <v>60</v>
      </c>
      <c r="O1149" s="5">
        <v>0</v>
      </c>
      <c r="P1149" s="5">
        <v>27.377521613832847</v>
      </c>
    </row>
    <row r="1150" spans="1:16">
      <c r="A1150" s="1" t="s">
        <v>1150</v>
      </c>
      <c r="B1150" s="1" t="s">
        <v>1075</v>
      </c>
      <c r="C1150" s="1">
        <v>1996</v>
      </c>
      <c r="D1150" s="1" t="s">
        <v>1713</v>
      </c>
      <c r="E1150" s="17">
        <v>35378</v>
      </c>
      <c r="F1150" s="18" t="str">
        <f t="shared" si="17"/>
        <v>PEPE1996_Noviembre</v>
      </c>
      <c r="G1150" s="1" t="s">
        <v>1395</v>
      </c>
      <c r="H1150" s="3">
        <v>4.6665000000000001</v>
      </c>
      <c r="I1150" s="3">
        <v>-77.400000000000006</v>
      </c>
      <c r="J1150" s="12">
        <v>28</v>
      </c>
      <c r="K1150" s="12">
        <v>27.3</v>
      </c>
      <c r="L1150" s="4">
        <v>333.17381995983874</v>
      </c>
      <c r="M1150" s="5">
        <v>898</v>
      </c>
      <c r="N1150" s="5">
        <v>837</v>
      </c>
      <c r="O1150" s="5">
        <v>61.509012915662531</v>
      </c>
      <c r="P1150" s="5">
        <v>688.90094465542029</v>
      </c>
    </row>
    <row r="1151" spans="1:16">
      <c r="A1151" s="1" t="s">
        <v>1151</v>
      </c>
      <c r="B1151" s="1" t="s">
        <v>1075</v>
      </c>
      <c r="C1151" s="1">
        <v>1996</v>
      </c>
      <c r="D1151" s="1" t="s">
        <v>1713</v>
      </c>
      <c r="E1151" s="17">
        <v>35378</v>
      </c>
      <c r="F1151" s="18" t="str">
        <f t="shared" si="17"/>
        <v>PEPE1996_Noviembre</v>
      </c>
      <c r="G1151" s="1" t="s">
        <v>1400</v>
      </c>
      <c r="H1151" s="3">
        <v>4.5021666666666667</v>
      </c>
      <c r="I1151" s="3">
        <v>-77.5</v>
      </c>
      <c r="J1151" s="12">
        <v>22</v>
      </c>
      <c r="K1151" s="12">
        <v>27.7</v>
      </c>
      <c r="L1151" s="4">
        <v>982.4356229584987</v>
      </c>
      <c r="M1151" s="5">
        <v>0</v>
      </c>
      <c r="N1151" s="5">
        <v>725</v>
      </c>
      <c r="O1151" s="1">
        <v>0</v>
      </c>
      <c r="P1151" s="5">
        <v>687.70493607094909</v>
      </c>
    </row>
    <row r="1152" spans="1:16">
      <c r="A1152" s="1" t="s">
        <v>1152</v>
      </c>
      <c r="B1152" s="1" t="s">
        <v>1075</v>
      </c>
      <c r="C1152" s="1">
        <v>1996</v>
      </c>
      <c r="D1152" s="1" t="s">
        <v>1713</v>
      </c>
      <c r="E1152" s="17">
        <v>35380</v>
      </c>
      <c r="F1152" s="18" t="str">
        <f t="shared" si="17"/>
        <v>PEPE1996_Noviembre</v>
      </c>
      <c r="G1152" s="1" t="s">
        <v>1685</v>
      </c>
      <c r="H1152" s="3">
        <v>3.6676666666666669</v>
      </c>
      <c r="I1152" s="3">
        <v>-77.666833333333329</v>
      </c>
      <c r="J1152" s="12">
        <v>27</v>
      </c>
      <c r="K1152" s="12">
        <v>27.8</v>
      </c>
      <c r="L1152" s="4">
        <v>5</v>
      </c>
      <c r="M1152" s="5">
        <v>127</v>
      </c>
      <c r="N1152" s="5">
        <v>339</v>
      </c>
      <c r="O1152" s="5">
        <v>0</v>
      </c>
      <c r="P1152" s="5">
        <v>310.61437660005231</v>
      </c>
    </row>
    <row r="1153" spans="1:16">
      <c r="A1153" s="1" t="s">
        <v>1153</v>
      </c>
      <c r="B1153" s="1" t="s">
        <v>1075</v>
      </c>
      <c r="C1153" s="1">
        <v>1996</v>
      </c>
      <c r="D1153" s="1" t="s">
        <v>1713</v>
      </c>
      <c r="E1153" s="17">
        <v>35381</v>
      </c>
      <c r="F1153" s="18" t="str">
        <f t="shared" si="17"/>
        <v>PEPE1996_Noviembre</v>
      </c>
      <c r="G1153" s="1" t="s">
        <v>1517</v>
      </c>
      <c r="H1153" s="3">
        <v>3.3373333333333335</v>
      </c>
      <c r="I1153" s="3">
        <v>-77.998666666666665</v>
      </c>
      <c r="J1153" s="12">
        <v>30</v>
      </c>
      <c r="K1153" s="12">
        <v>27.2</v>
      </c>
      <c r="L1153" s="4">
        <v>0.9</v>
      </c>
      <c r="M1153" s="5">
        <v>1078</v>
      </c>
      <c r="N1153" s="5">
        <v>31</v>
      </c>
      <c r="O1153" s="5">
        <v>0</v>
      </c>
      <c r="P1153" s="5">
        <v>15.405652660554621</v>
      </c>
    </row>
    <row r="1154" spans="1:16">
      <c r="A1154" s="1" t="s">
        <v>1154</v>
      </c>
      <c r="B1154" s="1" t="s">
        <v>1075</v>
      </c>
      <c r="C1154" s="1">
        <v>1996</v>
      </c>
      <c r="D1154" s="1" t="s">
        <v>1713</v>
      </c>
      <c r="E1154" s="17">
        <v>35384</v>
      </c>
      <c r="F1154" s="18" t="str">
        <f t="shared" si="17"/>
        <v>PEPE1996_Noviembre</v>
      </c>
      <c r="G1154" s="1" t="s">
        <v>1686</v>
      </c>
      <c r="H1154" s="3">
        <v>2.8331666666666666</v>
      </c>
      <c r="I1154" s="3">
        <v>-78.548666666666662</v>
      </c>
      <c r="J1154" s="12">
        <v>32</v>
      </c>
      <c r="K1154" s="12">
        <v>27</v>
      </c>
      <c r="L1154" s="4">
        <v>3</v>
      </c>
      <c r="M1154" s="5">
        <v>39</v>
      </c>
      <c r="N1154" s="5">
        <v>12</v>
      </c>
      <c r="O1154" s="5">
        <v>0</v>
      </c>
      <c r="P1154" s="5">
        <v>3.0163718254758489</v>
      </c>
    </row>
    <row r="1155" spans="1:16">
      <c r="A1155" s="1" t="s">
        <v>1155</v>
      </c>
      <c r="B1155" s="1" t="s">
        <v>1075</v>
      </c>
      <c r="C1155" s="1">
        <v>1996</v>
      </c>
      <c r="D1155" s="1" t="s">
        <v>1713</v>
      </c>
      <c r="E1155" s="17">
        <v>35390</v>
      </c>
      <c r="F1155" s="18" t="str">
        <f t="shared" ref="F1155:F1218" si="18">"PEPE"&amp;C1155&amp;"_"&amp;D1155</f>
        <v>PEPE1996_Noviembre</v>
      </c>
      <c r="G1155" s="1" t="s">
        <v>1455</v>
      </c>
      <c r="H1155" s="3">
        <v>2.6661666666666668</v>
      </c>
      <c r="I1155" s="3">
        <v>-78.968333333333334</v>
      </c>
      <c r="J1155" s="12">
        <v>32</v>
      </c>
      <c r="K1155" s="12">
        <v>27.1</v>
      </c>
      <c r="L1155" s="4">
        <v>1.2</v>
      </c>
      <c r="M1155" s="5">
        <v>2124</v>
      </c>
      <c r="N1155" s="5">
        <v>15</v>
      </c>
      <c r="O1155" s="5">
        <v>0</v>
      </c>
      <c r="P1155" s="5">
        <v>0</v>
      </c>
    </row>
    <row r="1156" spans="1:16">
      <c r="A1156" s="1" t="s">
        <v>1156</v>
      </c>
      <c r="B1156" s="1" t="s">
        <v>1075</v>
      </c>
      <c r="C1156" s="1">
        <v>1996</v>
      </c>
      <c r="D1156" s="1" t="s">
        <v>1713</v>
      </c>
      <c r="E1156" s="17">
        <v>35386</v>
      </c>
      <c r="F1156" s="18" t="str">
        <f t="shared" si="18"/>
        <v>PEPE1996_Noviembre</v>
      </c>
      <c r="G1156" s="1" t="s">
        <v>1473</v>
      </c>
      <c r="H1156" s="3">
        <v>1.9968333333333335</v>
      </c>
      <c r="I1156" s="3">
        <v>-78.820333333333338</v>
      </c>
      <c r="J1156" s="12">
        <v>32</v>
      </c>
      <c r="K1156" s="12">
        <v>26.7</v>
      </c>
      <c r="L1156" s="4">
        <v>6</v>
      </c>
      <c r="M1156" s="5">
        <v>32</v>
      </c>
      <c r="N1156" s="5">
        <v>1308</v>
      </c>
      <c r="O1156" s="5">
        <v>0</v>
      </c>
      <c r="P1156" s="5">
        <v>417.98170140416124</v>
      </c>
    </row>
    <row r="1157" spans="1:16">
      <c r="A1157" s="1" t="s">
        <v>1157</v>
      </c>
      <c r="B1157" s="1" t="s">
        <v>1075</v>
      </c>
      <c r="C1157" s="1">
        <v>1996</v>
      </c>
      <c r="D1157" s="1" t="s">
        <v>1713</v>
      </c>
      <c r="E1157" s="17">
        <v>35387</v>
      </c>
      <c r="F1157" s="18" t="str">
        <f t="shared" si="18"/>
        <v>PEPE1996_Noviembre</v>
      </c>
      <c r="G1157" s="1" t="s">
        <v>1479</v>
      </c>
      <c r="H1157" s="3">
        <v>1.8305</v>
      </c>
      <c r="I1157" s="3">
        <v>-79.192999999999998</v>
      </c>
      <c r="J1157" s="12">
        <v>32</v>
      </c>
      <c r="K1157" s="12">
        <v>26.6</v>
      </c>
      <c r="L1157" s="4">
        <v>6</v>
      </c>
      <c r="M1157" s="5">
        <v>10</v>
      </c>
      <c r="N1157" s="5">
        <v>31</v>
      </c>
      <c r="O1157" s="5">
        <v>0</v>
      </c>
      <c r="P1157" s="5">
        <v>9.6364120234537971</v>
      </c>
    </row>
    <row r="1158" spans="1:16">
      <c r="A1158" s="1" t="s">
        <v>1158</v>
      </c>
      <c r="B1158" s="1" t="s">
        <v>1075</v>
      </c>
      <c r="C1158" s="1">
        <v>1996</v>
      </c>
      <c r="D1158" s="1" t="s">
        <v>1713</v>
      </c>
      <c r="E1158" s="17">
        <v>35387</v>
      </c>
      <c r="F1158" s="18" t="str">
        <f t="shared" si="18"/>
        <v>PEPE1996_Noviembre</v>
      </c>
      <c r="G1158" s="1" t="s">
        <v>1688</v>
      </c>
      <c r="H1158" s="3">
        <v>2.0975000000000001</v>
      </c>
      <c r="I1158" s="3">
        <v>-79.192999999999998</v>
      </c>
      <c r="J1158" s="12">
        <v>32</v>
      </c>
      <c r="K1158" s="12">
        <v>26.7</v>
      </c>
      <c r="L1158" s="4">
        <v>10</v>
      </c>
      <c r="M1158" s="5">
        <v>79</v>
      </c>
      <c r="N1158" s="5">
        <v>396</v>
      </c>
      <c r="O1158" s="5">
        <v>0</v>
      </c>
      <c r="P1158" s="5">
        <v>91.334124947570331</v>
      </c>
    </row>
    <row r="1159" spans="1:16">
      <c r="A1159" s="1" t="s">
        <v>1159</v>
      </c>
      <c r="B1159" s="1" t="s">
        <v>1075</v>
      </c>
      <c r="C1159" s="1">
        <v>1996</v>
      </c>
      <c r="D1159" s="1" t="s">
        <v>1713</v>
      </c>
      <c r="E1159" s="17">
        <v>35388</v>
      </c>
      <c r="F1159" s="18" t="str">
        <f t="shared" si="18"/>
        <v>PEPE1996_Noviembre</v>
      </c>
      <c r="G1159" s="1" t="s">
        <v>1689</v>
      </c>
      <c r="H1159" s="3">
        <v>1.7043333333333333</v>
      </c>
      <c r="I1159" s="3">
        <v>-79.697166666666661</v>
      </c>
      <c r="J1159" s="12">
        <v>32</v>
      </c>
      <c r="K1159" s="12">
        <v>26</v>
      </c>
      <c r="L1159" s="4">
        <v>13</v>
      </c>
      <c r="M1159" s="5">
        <v>52</v>
      </c>
      <c r="N1159" s="5">
        <v>386</v>
      </c>
      <c r="O1159" s="5">
        <v>0</v>
      </c>
      <c r="P1159" s="5">
        <v>0</v>
      </c>
    </row>
    <row r="1160" spans="1:16">
      <c r="A1160" s="1" t="s">
        <v>1149</v>
      </c>
      <c r="B1160" s="1" t="s">
        <v>1075</v>
      </c>
      <c r="C1160" s="1">
        <v>1996</v>
      </c>
      <c r="D1160" s="1" t="s">
        <v>1713</v>
      </c>
      <c r="E1160" s="17">
        <v>35374</v>
      </c>
      <c r="F1160" s="18" t="str">
        <f t="shared" si="18"/>
        <v>PEPE1996_Noviembre</v>
      </c>
      <c r="G1160" s="1" t="s">
        <v>1539</v>
      </c>
      <c r="H1160" s="3">
        <v>6.3348333333333331</v>
      </c>
      <c r="I1160" s="3">
        <v>-77.534000000000006</v>
      </c>
      <c r="J1160" s="12">
        <v>28</v>
      </c>
      <c r="K1160" s="12">
        <v>27.9</v>
      </c>
      <c r="L1160" s="4">
        <v>85.42918460508686</v>
      </c>
      <c r="M1160" s="5">
        <v>0</v>
      </c>
      <c r="N1160" s="5">
        <v>57</v>
      </c>
      <c r="O1160" s="1">
        <v>0</v>
      </c>
      <c r="P1160" s="5">
        <v>0</v>
      </c>
    </row>
    <row r="1161" spans="1:16">
      <c r="A1161" s="1" t="s">
        <v>1150</v>
      </c>
      <c r="B1161" s="1" t="s">
        <v>1075</v>
      </c>
      <c r="C1161" s="1">
        <v>1996</v>
      </c>
      <c r="D1161" s="1" t="s">
        <v>1713</v>
      </c>
      <c r="E1161" s="17">
        <v>35378</v>
      </c>
      <c r="F1161" s="18" t="str">
        <f t="shared" si="18"/>
        <v>PEPE1996_Noviembre</v>
      </c>
      <c r="G1161" s="1" t="s">
        <v>1395</v>
      </c>
      <c r="H1161" s="3">
        <v>4.6665000000000001</v>
      </c>
      <c r="I1161" s="3">
        <v>-77.400000000000006</v>
      </c>
      <c r="J1161" s="12">
        <v>28</v>
      </c>
      <c r="K1161" s="12">
        <v>27.3</v>
      </c>
      <c r="L1161" s="4">
        <v>69.348396914717554</v>
      </c>
      <c r="M1161" s="5">
        <v>99</v>
      </c>
      <c r="N1161" s="5">
        <v>99</v>
      </c>
      <c r="O1161" s="5">
        <v>0</v>
      </c>
      <c r="P1161" s="5">
        <v>99.168207588046116</v>
      </c>
    </row>
    <row r="1162" spans="1:16">
      <c r="A1162" s="1" t="s">
        <v>1151</v>
      </c>
      <c r="B1162" s="1" t="s">
        <v>1075</v>
      </c>
      <c r="C1162" s="1">
        <v>1996</v>
      </c>
      <c r="D1162" s="1" t="s">
        <v>1713</v>
      </c>
      <c r="E1162" s="17">
        <v>35378</v>
      </c>
      <c r="F1162" s="18" t="str">
        <f t="shared" si="18"/>
        <v>PEPE1996_Noviembre</v>
      </c>
      <c r="G1162" s="1" t="s">
        <v>1400</v>
      </c>
      <c r="H1162" s="3">
        <v>4.5021666666666667</v>
      </c>
      <c r="I1162" s="3">
        <v>-77.5</v>
      </c>
      <c r="J1162" s="12">
        <v>22</v>
      </c>
      <c r="K1162" s="12">
        <v>27.7</v>
      </c>
      <c r="L1162" s="4">
        <v>291.81256127480162</v>
      </c>
      <c r="M1162" s="5">
        <v>419</v>
      </c>
      <c r="N1162" s="5">
        <v>872</v>
      </c>
      <c r="O1162" s="5">
        <v>0</v>
      </c>
      <c r="P1162" s="5">
        <v>488.2841225299</v>
      </c>
    </row>
    <row r="1163" spans="1:16">
      <c r="A1163" s="1" t="s">
        <v>1152</v>
      </c>
      <c r="B1163" s="1" t="s">
        <v>1075</v>
      </c>
      <c r="C1163" s="1">
        <v>1996</v>
      </c>
      <c r="D1163" s="1" t="s">
        <v>1713</v>
      </c>
      <c r="E1163" s="17">
        <v>35380</v>
      </c>
      <c r="F1163" s="18" t="str">
        <f t="shared" si="18"/>
        <v>PEPE1996_Noviembre</v>
      </c>
      <c r="G1163" s="1" t="s">
        <v>1685</v>
      </c>
      <c r="H1163" s="3">
        <v>3.6668333333333334</v>
      </c>
      <c r="I1163" s="3">
        <v>-77.666833333333329</v>
      </c>
      <c r="J1163" s="12">
        <v>27</v>
      </c>
      <c r="K1163" s="12">
        <v>27.8</v>
      </c>
      <c r="L1163" s="4">
        <v>0.5</v>
      </c>
      <c r="M1163" s="5">
        <v>0</v>
      </c>
      <c r="N1163" s="5">
        <v>1608</v>
      </c>
      <c r="O1163" s="1">
        <v>0</v>
      </c>
      <c r="P1163" s="5">
        <v>1608.0506276584708</v>
      </c>
    </row>
    <row r="1164" spans="1:16">
      <c r="A1164" s="1" t="s">
        <v>1155</v>
      </c>
      <c r="B1164" s="1" t="s">
        <v>1075</v>
      </c>
      <c r="C1164" s="1">
        <v>1996</v>
      </c>
      <c r="D1164" s="1" t="s">
        <v>1713</v>
      </c>
      <c r="E1164" s="17">
        <v>35390</v>
      </c>
      <c r="F1164" s="18" t="str">
        <f t="shared" si="18"/>
        <v>PEPE1996_Noviembre</v>
      </c>
      <c r="G1164" s="1" t="s">
        <v>1455</v>
      </c>
      <c r="H1164" s="3">
        <v>2.6661666666666668</v>
      </c>
      <c r="I1164" s="3">
        <v>-78.968333333333334</v>
      </c>
      <c r="J1164" s="12">
        <v>32</v>
      </c>
      <c r="K1164" s="12">
        <v>27.1</v>
      </c>
      <c r="L1164" s="4">
        <v>6</v>
      </c>
      <c r="M1164" s="5">
        <v>834</v>
      </c>
      <c r="N1164" s="5">
        <v>2340</v>
      </c>
      <c r="O1164" s="5">
        <v>0</v>
      </c>
      <c r="P1164" s="5">
        <v>13.447787994869184</v>
      </c>
    </row>
    <row r="1165" spans="1:16">
      <c r="A1165" s="1" t="s">
        <v>1156</v>
      </c>
      <c r="B1165" s="1" t="s">
        <v>1075</v>
      </c>
      <c r="C1165" s="1">
        <v>1996</v>
      </c>
      <c r="D1165" s="1" t="s">
        <v>1713</v>
      </c>
      <c r="E1165" s="17">
        <v>35386</v>
      </c>
      <c r="F1165" s="18" t="str">
        <f t="shared" si="18"/>
        <v>PEPE1996_Noviembre</v>
      </c>
      <c r="G1165" s="1" t="s">
        <v>1473</v>
      </c>
      <c r="H1165" s="3">
        <v>1.9968333333333335</v>
      </c>
      <c r="I1165" s="3">
        <v>-78.820333333333338</v>
      </c>
      <c r="J1165" s="12">
        <v>32</v>
      </c>
      <c r="K1165" s="12">
        <v>26.7</v>
      </c>
      <c r="L1165" s="4">
        <v>7.5</v>
      </c>
      <c r="M1165" s="5">
        <v>138</v>
      </c>
      <c r="N1165" s="5">
        <v>2448</v>
      </c>
      <c r="O1165" s="5">
        <v>0</v>
      </c>
      <c r="P1165" s="5">
        <v>657.83889313301074</v>
      </c>
    </row>
    <row r="1166" spans="1:16">
      <c r="A1166" s="1" t="s">
        <v>1158</v>
      </c>
      <c r="B1166" s="1" t="s">
        <v>1075</v>
      </c>
      <c r="C1166" s="1">
        <v>1996</v>
      </c>
      <c r="D1166" s="1" t="s">
        <v>1713</v>
      </c>
      <c r="E1166" s="17">
        <v>35387</v>
      </c>
      <c r="F1166" s="18" t="str">
        <f t="shared" si="18"/>
        <v>PEPE1996_Noviembre</v>
      </c>
      <c r="G1166" s="1" t="s">
        <v>1688</v>
      </c>
      <c r="H1166" s="3">
        <v>2.0975000000000001</v>
      </c>
      <c r="I1166" s="3">
        <v>-79.192999999999998</v>
      </c>
      <c r="J1166" s="12">
        <v>32</v>
      </c>
      <c r="K1166" s="12">
        <v>26.7</v>
      </c>
      <c r="L1166" s="4">
        <v>1</v>
      </c>
      <c r="M1166" s="5">
        <v>95</v>
      </c>
      <c r="N1166" s="5">
        <v>476</v>
      </c>
      <c r="O1166" s="5">
        <v>0</v>
      </c>
      <c r="P1166" s="5">
        <v>190.41195511783744</v>
      </c>
    </row>
    <row r="1167" spans="1:16">
      <c r="A1167" s="1" t="s">
        <v>1159</v>
      </c>
      <c r="B1167" s="1" t="s">
        <v>1075</v>
      </c>
      <c r="C1167" s="1">
        <v>1996</v>
      </c>
      <c r="D1167" s="1" t="s">
        <v>1713</v>
      </c>
      <c r="E1167" s="17">
        <v>35388</v>
      </c>
      <c r="F1167" s="18" t="str">
        <f t="shared" si="18"/>
        <v>PEPE1996_Noviembre</v>
      </c>
      <c r="G1167" s="1" t="s">
        <v>1689</v>
      </c>
      <c r="H1167" s="3">
        <v>1.7043333333333333</v>
      </c>
      <c r="I1167" s="3">
        <v>-79.697166666666661</v>
      </c>
      <c r="J1167" s="12">
        <v>32</v>
      </c>
      <c r="K1167" s="12">
        <v>26</v>
      </c>
      <c r="L1167" s="4">
        <v>0.7</v>
      </c>
      <c r="M1167" s="5">
        <v>166</v>
      </c>
      <c r="N1167" s="5">
        <v>498</v>
      </c>
      <c r="O1167" s="5">
        <v>0</v>
      </c>
      <c r="P1167" s="5">
        <v>0</v>
      </c>
    </row>
    <row r="1168" spans="1:16">
      <c r="A1168" s="1" t="s">
        <v>1148</v>
      </c>
      <c r="B1168" s="1" t="s">
        <v>1075</v>
      </c>
      <c r="C1168" s="1">
        <v>1996</v>
      </c>
      <c r="D1168" s="1" t="s">
        <v>1713</v>
      </c>
      <c r="E1168" s="17">
        <v>35374</v>
      </c>
      <c r="F1168" s="18" t="str">
        <f t="shared" si="18"/>
        <v>PEPE1996_Noviembre</v>
      </c>
      <c r="G1168" s="1" t="s">
        <v>1538</v>
      </c>
      <c r="H1168" s="3">
        <v>6.5013333333333332</v>
      </c>
      <c r="I1168" s="3">
        <v>-77.033833333333334</v>
      </c>
      <c r="J1168" s="12">
        <v>28</v>
      </c>
      <c r="K1168" s="12">
        <v>28</v>
      </c>
      <c r="L1168" s="4">
        <v>44.8016244997361</v>
      </c>
      <c r="M1168" s="5">
        <v>6</v>
      </c>
      <c r="N1168" s="5">
        <v>188</v>
      </c>
      <c r="O1168" s="5">
        <v>0</v>
      </c>
      <c r="P1168" s="5">
        <v>5.5426009738244941</v>
      </c>
    </row>
    <row r="1169" spans="1:16">
      <c r="A1169" s="1" t="s">
        <v>1149</v>
      </c>
      <c r="B1169" s="1" t="s">
        <v>1075</v>
      </c>
      <c r="C1169" s="1">
        <v>1996</v>
      </c>
      <c r="D1169" s="1" t="s">
        <v>1713</v>
      </c>
      <c r="E1169" s="17">
        <v>35374</v>
      </c>
      <c r="F1169" s="18" t="str">
        <f t="shared" si="18"/>
        <v>PEPE1996_Noviembre</v>
      </c>
      <c r="G1169" s="1" t="s">
        <v>1539</v>
      </c>
      <c r="H1169" s="3">
        <v>6.3348333333333331</v>
      </c>
      <c r="I1169" s="3">
        <v>-77.534000000000006</v>
      </c>
      <c r="J1169" s="12">
        <v>28</v>
      </c>
      <c r="K1169" s="12">
        <v>27.9</v>
      </c>
      <c r="L1169" s="4">
        <v>107.17479523183623</v>
      </c>
      <c r="M1169" s="5">
        <v>0</v>
      </c>
      <c r="N1169" s="5">
        <v>922</v>
      </c>
      <c r="O1169" s="1">
        <v>0</v>
      </c>
      <c r="P1169" s="5">
        <v>921.7032389937915</v>
      </c>
    </row>
    <row r="1170" spans="1:16">
      <c r="A1170" s="1" t="s">
        <v>1150</v>
      </c>
      <c r="B1170" s="1" t="s">
        <v>1075</v>
      </c>
      <c r="C1170" s="1">
        <v>1996</v>
      </c>
      <c r="D1170" s="1" t="s">
        <v>1713</v>
      </c>
      <c r="E1170" s="17">
        <v>35378</v>
      </c>
      <c r="F1170" s="18" t="str">
        <f t="shared" si="18"/>
        <v>PEPE1996_Noviembre</v>
      </c>
      <c r="G1170" s="1" t="s">
        <v>1395</v>
      </c>
      <c r="H1170" s="3">
        <v>4.6665000000000001</v>
      </c>
      <c r="I1170" s="3">
        <v>-77.400000000000006</v>
      </c>
      <c r="J1170" s="12">
        <v>28</v>
      </c>
      <c r="K1170" s="12">
        <v>27.3</v>
      </c>
      <c r="L1170" s="4">
        <v>47.346295082337285</v>
      </c>
      <c r="M1170" s="5">
        <v>247</v>
      </c>
      <c r="N1170" s="5">
        <v>325</v>
      </c>
      <c r="O1170" s="5">
        <v>7.0545979672682568</v>
      </c>
      <c r="P1170" s="5">
        <v>112.87356747629211</v>
      </c>
    </row>
    <row r="1171" spans="1:16">
      <c r="A1171" s="1" t="s">
        <v>1152</v>
      </c>
      <c r="B1171" s="1" t="s">
        <v>1075</v>
      </c>
      <c r="C1171" s="1">
        <v>1996</v>
      </c>
      <c r="D1171" s="1" t="s">
        <v>1713</v>
      </c>
      <c r="E1171" s="17">
        <v>35380</v>
      </c>
      <c r="F1171" s="18" t="str">
        <f t="shared" si="18"/>
        <v>PEPE1996_Noviembre</v>
      </c>
      <c r="G1171" s="1" t="s">
        <v>1685</v>
      </c>
      <c r="H1171" s="3">
        <v>3.6676666666666669</v>
      </c>
      <c r="I1171" s="3">
        <v>-77.666833333333329</v>
      </c>
      <c r="J1171" s="12">
        <v>27</v>
      </c>
      <c r="K1171" s="12">
        <v>27.8</v>
      </c>
      <c r="L1171" s="4">
        <v>0.1</v>
      </c>
      <c r="M1171" s="5">
        <v>339</v>
      </c>
      <c r="N1171" s="5">
        <v>1016</v>
      </c>
      <c r="O1171" s="5">
        <v>0</v>
      </c>
      <c r="P1171" s="5">
        <v>677.01603649316075</v>
      </c>
    </row>
    <row r="1172" spans="1:16">
      <c r="A1172" s="1" t="s">
        <v>1155</v>
      </c>
      <c r="B1172" s="1" t="s">
        <v>1075</v>
      </c>
      <c r="C1172" s="1">
        <v>1996</v>
      </c>
      <c r="D1172" s="1" t="s">
        <v>1713</v>
      </c>
      <c r="E1172" s="17">
        <v>35390</v>
      </c>
      <c r="F1172" s="18" t="str">
        <f t="shared" si="18"/>
        <v>PEPE1996_Noviembre</v>
      </c>
      <c r="G1172" s="1" t="s">
        <v>1455</v>
      </c>
      <c r="H1172" s="3">
        <v>2.6661666666666668</v>
      </c>
      <c r="I1172" s="3">
        <v>-78.968333333333334</v>
      </c>
      <c r="J1172" s="12">
        <v>32</v>
      </c>
      <c r="K1172" s="12">
        <v>27.1</v>
      </c>
      <c r="L1172" s="4">
        <v>2</v>
      </c>
      <c r="M1172" s="5">
        <v>1361</v>
      </c>
      <c r="N1172" s="5">
        <v>4493</v>
      </c>
      <c r="O1172" s="5">
        <v>0</v>
      </c>
      <c r="P1172" s="5">
        <v>0</v>
      </c>
    </row>
    <row r="1173" spans="1:16">
      <c r="A1173" s="1" t="s">
        <v>1156</v>
      </c>
      <c r="B1173" s="1" t="s">
        <v>1075</v>
      </c>
      <c r="C1173" s="1">
        <v>1996</v>
      </c>
      <c r="D1173" s="1" t="s">
        <v>1713</v>
      </c>
      <c r="E1173" s="17">
        <v>35386</v>
      </c>
      <c r="F1173" s="18" t="str">
        <f t="shared" si="18"/>
        <v>PEPE1996_Noviembre</v>
      </c>
      <c r="G1173" s="1" t="s">
        <v>1473</v>
      </c>
      <c r="H1173" s="3">
        <v>1.9968333333333335</v>
      </c>
      <c r="I1173" s="3">
        <v>-78.820333333333338</v>
      </c>
      <c r="J1173" s="12">
        <v>32</v>
      </c>
      <c r="K1173" s="12">
        <v>26.7</v>
      </c>
      <c r="L1173" s="4">
        <v>1</v>
      </c>
      <c r="M1173" s="5">
        <v>155</v>
      </c>
      <c r="N1173" s="5">
        <v>1785</v>
      </c>
      <c r="O1173" s="5">
        <v>0</v>
      </c>
      <c r="P1173" s="5">
        <v>310.47089870619283</v>
      </c>
    </row>
    <row r="1174" spans="1:16">
      <c r="A1174" s="1" t="s">
        <v>1159</v>
      </c>
      <c r="B1174" s="1" t="s">
        <v>1075</v>
      </c>
      <c r="C1174" s="1">
        <v>1996</v>
      </c>
      <c r="D1174" s="1" t="s">
        <v>1713</v>
      </c>
      <c r="E1174" s="17">
        <v>35388</v>
      </c>
      <c r="F1174" s="18" t="str">
        <f t="shared" si="18"/>
        <v>PEPE1996_Noviembre</v>
      </c>
      <c r="G1174" s="1" t="s">
        <v>1689</v>
      </c>
      <c r="H1174" s="3">
        <v>1.7043333333333333</v>
      </c>
      <c r="I1174" s="3">
        <v>-79.697166666666661</v>
      </c>
      <c r="J1174" s="12">
        <v>32</v>
      </c>
      <c r="K1174" s="12">
        <v>26</v>
      </c>
      <c r="L1174" s="4">
        <v>2.5</v>
      </c>
      <c r="M1174" s="5">
        <v>413</v>
      </c>
      <c r="N1174" s="5">
        <v>413</v>
      </c>
      <c r="O1174" s="5">
        <v>0</v>
      </c>
      <c r="P1174" s="5">
        <v>0</v>
      </c>
    </row>
    <row r="1175" spans="1:16">
      <c r="A1175" s="1" t="s">
        <v>1151</v>
      </c>
      <c r="B1175" s="1" t="s">
        <v>1075</v>
      </c>
      <c r="C1175" s="1">
        <v>1996</v>
      </c>
      <c r="D1175" s="1" t="s">
        <v>1713</v>
      </c>
      <c r="E1175" s="17">
        <v>35378</v>
      </c>
      <c r="F1175" s="18" t="str">
        <f t="shared" si="18"/>
        <v>PEPE1996_Noviembre</v>
      </c>
      <c r="G1175" s="1" t="s">
        <v>1400</v>
      </c>
      <c r="H1175" s="3">
        <v>4.5021666666666667</v>
      </c>
      <c r="I1175" s="3">
        <v>-77.5</v>
      </c>
      <c r="J1175" s="12">
        <v>22</v>
      </c>
      <c r="K1175" s="12">
        <v>27.7</v>
      </c>
      <c r="L1175" s="4">
        <v>0.5</v>
      </c>
      <c r="M1175" s="5">
        <v>0</v>
      </c>
      <c r="N1175" s="5">
        <v>1355</v>
      </c>
      <c r="O1175" s="1">
        <v>0</v>
      </c>
      <c r="P1175" s="5">
        <v>541.95254663501669</v>
      </c>
    </row>
    <row r="1176" spans="1:16">
      <c r="A1176" s="1" t="s">
        <v>1152</v>
      </c>
      <c r="B1176" s="1" t="s">
        <v>1075</v>
      </c>
      <c r="C1176" s="1">
        <v>1996</v>
      </c>
      <c r="D1176" s="1" t="s">
        <v>1713</v>
      </c>
      <c r="E1176" s="17">
        <v>35380</v>
      </c>
      <c r="F1176" s="18" t="str">
        <f t="shared" si="18"/>
        <v>PEPE1996_Noviembre</v>
      </c>
      <c r="G1176" s="1" t="s">
        <v>1685</v>
      </c>
      <c r="H1176" s="3">
        <v>3.6676666666666669</v>
      </c>
      <c r="I1176" s="3">
        <v>-77.666833333333329</v>
      </c>
      <c r="J1176" s="12">
        <v>27</v>
      </c>
      <c r="K1176" s="12">
        <v>27.8</v>
      </c>
      <c r="L1176" s="4">
        <v>1.5</v>
      </c>
      <c r="M1176" s="5">
        <v>285</v>
      </c>
      <c r="N1176" s="5">
        <v>1076</v>
      </c>
      <c r="O1176" s="5">
        <v>0</v>
      </c>
      <c r="P1176" s="5">
        <v>506.44425372094219</v>
      </c>
    </row>
    <row r="1177" spans="1:16">
      <c r="A1177" s="1" t="s">
        <v>1155</v>
      </c>
      <c r="B1177" s="1" t="s">
        <v>1075</v>
      </c>
      <c r="C1177" s="1">
        <v>1996</v>
      </c>
      <c r="D1177" s="1" t="s">
        <v>1713</v>
      </c>
      <c r="E1177" s="17">
        <v>35390</v>
      </c>
      <c r="F1177" s="18" t="str">
        <f t="shared" si="18"/>
        <v>PEPE1996_Noviembre</v>
      </c>
      <c r="G1177" s="1" t="s">
        <v>1455</v>
      </c>
      <c r="H1177" s="3">
        <v>2.6661666666666668</v>
      </c>
      <c r="I1177" s="3">
        <v>-78.968333333333334</v>
      </c>
      <c r="J1177" s="12">
        <v>32</v>
      </c>
      <c r="K1177" s="12">
        <v>27.1</v>
      </c>
      <c r="L1177" s="4">
        <v>1.5</v>
      </c>
      <c r="M1177" s="5">
        <v>965</v>
      </c>
      <c r="N1177" s="5">
        <v>1802</v>
      </c>
      <c r="O1177" s="5">
        <v>0</v>
      </c>
      <c r="P1177" s="5">
        <v>0</v>
      </c>
    </row>
    <row r="1178" spans="1:16">
      <c r="A1178" s="1" t="s">
        <v>1156</v>
      </c>
      <c r="B1178" s="1" t="s">
        <v>1075</v>
      </c>
      <c r="C1178" s="1">
        <v>1996</v>
      </c>
      <c r="D1178" s="1" t="s">
        <v>1713</v>
      </c>
      <c r="E1178" s="17">
        <v>35386</v>
      </c>
      <c r="F1178" s="18" t="str">
        <f t="shared" si="18"/>
        <v>PEPE1996_Noviembre</v>
      </c>
      <c r="G1178" s="1" t="s">
        <v>1473</v>
      </c>
      <c r="H1178" s="3">
        <v>1.9968333333333335</v>
      </c>
      <c r="I1178" s="3">
        <v>-78.820333333333338</v>
      </c>
      <c r="J1178" s="12">
        <v>32</v>
      </c>
      <c r="K1178" s="12">
        <v>26.7</v>
      </c>
      <c r="L1178" s="4">
        <v>0.5</v>
      </c>
      <c r="M1178" s="5">
        <v>0</v>
      </c>
      <c r="N1178" s="5">
        <v>1845</v>
      </c>
      <c r="O1178" s="1">
        <v>0</v>
      </c>
      <c r="P1178" s="5">
        <v>576.52841527585463</v>
      </c>
    </row>
    <row r="1179" spans="1:16">
      <c r="A1179" s="1" t="s">
        <v>1159</v>
      </c>
      <c r="B1179" s="1" t="s">
        <v>1075</v>
      </c>
      <c r="C1179" s="1">
        <v>1996</v>
      </c>
      <c r="D1179" s="1" t="s">
        <v>1713</v>
      </c>
      <c r="E1179" s="17">
        <v>35388</v>
      </c>
      <c r="F1179" s="18" t="str">
        <f t="shared" si="18"/>
        <v>PEPE1996_Noviembre</v>
      </c>
      <c r="G1179" s="1" t="s">
        <v>1689</v>
      </c>
      <c r="H1179" s="3">
        <v>1.7043333333333333</v>
      </c>
      <c r="I1179" s="3">
        <v>-79.697166666666661</v>
      </c>
      <c r="J1179" s="12">
        <v>32</v>
      </c>
      <c r="K1179" s="12">
        <v>26</v>
      </c>
      <c r="L1179" s="4">
        <v>1.3</v>
      </c>
      <c r="M1179" s="5">
        <v>1258</v>
      </c>
      <c r="N1179" s="5">
        <v>1886</v>
      </c>
      <c r="O1179" s="5">
        <v>0</v>
      </c>
      <c r="P1179" s="5">
        <v>0</v>
      </c>
    </row>
    <row r="1180" spans="1:16">
      <c r="A1180" s="1" t="s">
        <v>1155</v>
      </c>
      <c r="B1180" s="1" t="s">
        <v>1075</v>
      </c>
      <c r="C1180" s="1">
        <v>1996</v>
      </c>
      <c r="D1180" s="1" t="s">
        <v>1713</v>
      </c>
      <c r="E1180" s="17">
        <v>35390</v>
      </c>
      <c r="F1180" s="18" t="str">
        <f t="shared" si="18"/>
        <v>PEPE1996_Noviembre</v>
      </c>
      <c r="G1180" s="1" t="s">
        <v>1455</v>
      </c>
      <c r="H1180" s="3">
        <v>2.6661666666666668</v>
      </c>
      <c r="I1180" s="3">
        <v>-78.968333333333334</v>
      </c>
      <c r="J1180" s="12">
        <v>32</v>
      </c>
      <c r="K1180" s="12">
        <v>27.1</v>
      </c>
      <c r="L1180" s="4">
        <v>1.5</v>
      </c>
      <c r="M1180" s="5">
        <v>1152</v>
      </c>
      <c r="N1180" s="5">
        <v>905</v>
      </c>
      <c r="O1180" s="5">
        <v>0</v>
      </c>
      <c r="P1180" s="5">
        <v>0</v>
      </c>
    </row>
    <row r="1181" spans="1:16">
      <c r="A1181" s="1" t="s">
        <v>1157</v>
      </c>
      <c r="B1181" s="1" t="s">
        <v>1075</v>
      </c>
      <c r="C1181" s="1">
        <v>1996</v>
      </c>
      <c r="D1181" s="1" t="s">
        <v>1713</v>
      </c>
      <c r="E1181" s="17">
        <v>35387</v>
      </c>
      <c r="F1181" s="18" t="str">
        <f t="shared" si="18"/>
        <v>PEPE1996_Noviembre</v>
      </c>
      <c r="G1181" s="1" t="s">
        <v>1479</v>
      </c>
      <c r="H1181" s="3">
        <v>1.8305</v>
      </c>
      <c r="I1181" s="3">
        <v>-79.192999999999998</v>
      </c>
      <c r="J1181" s="12">
        <v>32</v>
      </c>
      <c r="K1181" s="12">
        <v>26.6</v>
      </c>
      <c r="L1181" s="4">
        <v>0.5</v>
      </c>
      <c r="M1181" s="5">
        <v>429</v>
      </c>
      <c r="N1181" s="5">
        <v>429</v>
      </c>
      <c r="O1181" s="5">
        <v>0</v>
      </c>
      <c r="P1181" s="5">
        <v>0</v>
      </c>
    </row>
    <row r="1182" spans="1:16">
      <c r="A1182" s="1" t="s">
        <v>1158</v>
      </c>
      <c r="B1182" s="1" t="s">
        <v>1075</v>
      </c>
      <c r="C1182" s="1">
        <v>1996</v>
      </c>
      <c r="D1182" s="1" t="s">
        <v>1713</v>
      </c>
      <c r="E1182" s="17">
        <v>35387</v>
      </c>
      <c r="F1182" s="18" t="str">
        <f t="shared" si="18"/>
        <v>PEPE1996_Noviembre</v>
      </c>
      <c r="G1182" s="1" t="s">
        <v>1688</v>
      </c>
      <c r="H1182" s="3">
        <v>2.0975000000000001</v>
      </c>
      <c r="I1182" s="3">
        <v>-79.192999999999998</v>
      </c>
      <c r="J1182" s="12">
        <v>32</v>
      </c>
      <c r="K1182" s="12">
        <v>26.7</v>
      </c>
      <c r="L1182" s="4">
        <v>1</v>
      </c>
      <c r="M1182" s="5">
        <v>2494</v>
      </c>
      <c r="N1182" s="5">
        <v>2494</v>
      </c>
      <c r="O1182" s="5">
        <v>0</v>
      </c>
      <c r="P1182" s="5">
        <v>0</v>
      </c>
    </row>
    <row r="1183" spans="1:16">
      <c r="A1183" s="1" t="s">
        <v>1159</v>
      </c>
      <c r="B1183" s="1" t="s">
        <v>1075</v>
      </c>
      <c r="C1183" s="1">
        <v>1996</v>
      </c>
      <c r="D1183" s="1" t="s">
        <v>1713</v>
      </c>
      <c r="E1183" s="17">
        <v>35388</v>
      </c>
      <c r="F1183" s="18" t="str">
        <f t="shared" si="18"/>
        <v>PEPE1996_Noviembre</v>
      </c>
      <c r="G1183" s="1" t="s">
        <v>1689</v>
      </c>
      <c r="H1183" s="3">
        <v>1.7043333333333333</v>
      </c>
      <c r="I1183" s="3">
        <v>-79.697166666666661</v>
      </c>
      <c r="J1183" s="12">
        <v>32</v>
      </c>
      <c r="K1183" s="12">
        <v>26</v>
      </c>
      <c r="L1183" s="4">
        <v>0.5</v>
      </c>
      <c r="M1183" s="5">
        <v>0</v>
      </c>
      <c r="N1183" s="5">
        <v>7123</v>
      </c>
      <c r="O1183" s="1">
        <v>0</v>
      </c>
      <c r="P1183" s="5">
        <v>4070.2307859170601</v>
      </c>
    </row>
    <row r="1184" spans="1:16">
      <c r="A1184" s="1" t="s">
        <v>1160</v>
      </c>
      <c r="B1184" s="1" t="s">
        <v>1161</v>
      </c>
      <c r="C1184" s="1">
        <v>2008</v>
      </c>
      <c r="D1184" s="1" t="s">
        <v>1711</v>
      </c>
      <c r="E1184" s="17">
        <v>39787</v>
      </c>
      <c r="F1184" s="18" t="str">
        <f t="shared" si="18"/>
        <v>PEPE2008_Diciembre</v>
      </c>
      <c r="G1184" s="1" t="s">
        <v>1341</v>
      </c>
      <c r="H1184" s="3">
        <v>6.6714706100000001</v>
      </c>
      <c r="I1184" s="3">
        <v>-77.472998040000007</v>
      </c>
      <c r="J1184" s="12">
        <v>19.399999999999999</v>
      </c>
      <c r="K1184" s="12">
        <v>27.3</v>
      </c>
      <c r="L1184" s="4">
        <v>50.706354733341875</v>
      </c>
      <c r="M1184" s="5">
        <v>30</v>
      </c>
      <c r="N1184" s="5">
        <v>15</v>
      </c>
      <c r="O1184" s="5">
        <v>15.211906420002562</v>
      </c>
      <c r="P1184" s="5">
        <v>15.211906420002562</v>
      </c>
    </row>
    <row r="1185" spans="1:16">
      <c r="A1185" s="1" t="s">
        <v>1162</v>
      </c>
      <c r="B1185" s="1" t="s">
        <v>1161</v>
      </c>
      <c r="C1185" s="1">
        <v>2008</v>
      </c>
      <c r="D1185" s="1" t="s">
        <v>1711</v>
      </c>
      <c r="E1185" s="17">
        <v>39787</v>
      </c>
      <c r="F1185" s="18" t="str">
        <f t="shared" si="18"/>
        <v>PEPE2008_Diciembre</v>
      </c>
      <c r="G1185" s="1" t="s">
        <v>1343</v>
      </c>
      <c r="H1185" s="3">
        <v>6.6666699999999999</v>
      </c>
      <c r="I1185" s="3">
        <v>-77.599999999999994</v>
      </c>
      <c r="J1185" s="12">
        <v>23.5</v>
      </c>
      <c r="K1185" s="12">
        <v>26.8</v>
      </c>
      <c r="L1185" s="4">
        <v>164.02403444176676</v>
      </c>
      <c r="M1185" s="5">
        <v>0</v>
      </c>
      <c r="N1185" s="5">
        <v>244</v>
      </c>
      <c r="O1185" s="1">
        <v>0</v>
      </c>
      <c r="P1185" s="5">
        <v>27.063965682891514</v>
      </c>
    </row>
    <row r="1186" spans="1:16">
      <c r="A1186" s="1" t="s">
        <v>1163</v>
      </c>
      <c r="B1186" s="1" t="s">
        <v>1161</v>
      </c>
      <c r="C1186" s="1">
        <v>2008</v>
      </c>
      <c r="D1186" s="1" t="s">
        <v>1711</v>
      </c>
      <c r="E1186" s="17">
        <v>39786</v>
      </c>
      <c r="F1186" s="18" t="str">
        <f t="shared" si="18"/>
        <v>PEPE2008_Diciembre</v>
      </c>
      <c r="G1186" s="1" t="s">
        <v>1493</v>
      </c>
      <c r="H1186" s="3">
        <v>6.5</v>
      </c>
      <c r="I1186" s="3">
        <v>-77.366669999999999</v>
      </c>
      <c r="J1186" s="12">
        <v>22.9</v>
      </c>
      <c r="K1186" s="12">
        <v>26.9</v>
      </c>
      <c r="L1186" s="4">
        <v>287.54213354882887</v>
      </c>
      <c r="M1186" s="5">
        <v>0</v>
      </c>
      <c r="N1186" s="5">
        <v>14</v>
      </c>
      <c r="O1186" s="1">
        <v>0</v>
      </c>
      <c r="P1186" s="5">
        <v>3.4505056025859466</v>
      </c>
    </row>
    <row r="1187" spans="1:16">
      <c r="A1187" s="1" t="s">
        <v>1164</v>
      </c>
      <c r="B1187" s="1" t="s">
        <v>1161</v>
      </c>
      <c r="C1187" s="1">
        <v>2008</v>
      </c>
      <c r="D1187" s="1" t="s">
        <v>1711</v>
      </c>
      <c r="E1187" s="17">
        <v>39788</v>
      </c>
      <c r="F1187" s="18" t="str">
        <f t="shared" si="18"/>
        <v>PEPE2008_Diciembre</v>
      </c>
      <c r="G1187" s="1" t="s">
        <v>1356</v>
      </c>
      <c r="H1187" s="3">
        <v>5.8248333333333333</v>
      </c>
      <c r="I1187" s="3">
        <v>-77.304694444444436</v>
      </c>
      <c r="J1187" s="12">
        <v>18.899999999999999</v>
      </c>
      <c r="K1187" s="12">
        <v>29.3</v>
      </c>
      <c r="L1187" s="4">
        <v>146.45003075157746</v>
      </c>
      <c r="M1187" s="5">
        <v>932</v>
      </c>
      <c r="N1187" s="5">
        <v>140</v>
      </c>
      <c r="O1187" s="5">
        <v>40.06872841363159</v>
      </c>
      <c r="P1187" s="5">
        <v>20.034364206815795</v>
      </c>
    </row>
    <row r="1188" spans="1:16">
      <c r="A1188" s="1" t="s">
        <v>1165</v>
      </c>
      <c r="B1188" s="1" t="s">
        <v>1161</v>
      </c>
      <c r="C1188" s="1">
        <v>2008</v>
      </c>
      <c r="D1188" s="1" t="s">
        <v>1711</v>
      </c>
      <c r="E1188" s="17">
        <v>39788</v>
      </c>
      <c r="F1188" s="18" t="str">
        <f t="shared" si="18"/>
        <v>PEPE2008_Diciembre</v>
      </c>
      <c r="G1188" s="1" t="s">
        <v>1506</v>
      </c>
      <c r="H1188" s="3">
        <v>5.6683055555555555</v>
      </c>
      <c r="I1188" s="3">
        <v>-77.499388888888888</v>
      </c>
      <c r="J1188" s="12">
        <v>20.8</v>
      </c>
      <c r="K1188" s="12">
        <v>26.9</v>
      </c>
      <c r="L1188" s="4">
        <v>237.76593227903163</v>
      </c>
      <c r="M1188" s="5">
        <v>0</v>
      </c>
      <c r="N1188" s="5">
        <v>355</v>
      </c>
      <c r="O1188" s="1">
        <v>0</v>
      </c>
      <c r="P1188" s="5">
        <v>54.686164424177271</v>
      </c>
    </row>
    <row r="1189" spans="1:16">
      <c r="A1189" s="1" t="s">
        <v>1166</v>
      </c>
      <c r="B1189" s="1" t="s">
        <v>1161</v>
      </c>
      <c r="C1189" s="1">
        <v>2008</v>
      </c>
      <c r="D1189" s="1" t="s">
        <v>1711</v>
      </c>
      <c r="E1189" s="17">
        <v>39789</v>
      </c>
      <c r="F1189" s="18" t="str">
        <f t="shared" si="18"/>
        <v>PEPE2008_Diciembre</v>
      </c>
      <c r="G1189" s="1" t="s">
        <v>1616</v>
      </c>
      <c r="H1189" s="3">
        <v>5.4406111111111111</v>
      </c>
      <c r="I1189" s="3">
        <v>-77.44327777777778</v>
      </c>
      <c r="J1189" s="12">
        <v>16.899999999999999</v>
      </c>
      <c r="K1189" s="12">
        <v>26.5</v>
      </c>
      <c r="L1189" s="4">
        <v>56.952789736724569</v>
      </c>
      <c r="M1189" s="5">
        <v>30</v>
      </c>
      <c r="N1189" s="5">
        <v>7</v>
      </c>
      <c r="O1189" s="5">
        <v>3.6905407749397523</v>
      </c>
      <c r="P1189" s="5">
        <v>0.92263519373493807</v>
      </c>
    </row>
    <row r="1190" spans="1:16">
      <c r="A1190" s="1" t="s">
        <v>1167</v>
      </c>
      <c r="B1190" s="1" t="s">
        <v>1161</v>
      </c>
      <c r="C1190" s="1">
        <v>2008</v>
      </c>
      <c r="D1190" s="1" t="s">
        <v>1711</v>
      </c>
      <c r="E1190" s="17">
        <v>39789</v>
      </c>
      <c r="F1190" s="18" t="str">
        <f t="shared" si="18"/>
        <v>PEPE2008_Diciembre</v>
      </c>
      <c r="G1190" s="1" t="s">
        <v>1510</v>
      </c>
      <c r="H1190" s="3">
        <v>5.3272746800000004</v>
      </c>
      <c r="I1190" s="3">
        <v>-77.420500000000004</v>
      </c>
      <c r="J1190" s="12">
        <v>19.100000000000001</v>
      </c>
      <c r="K1190" s="12">
        <v>27.5</v>
      </c>
      <c r="L1190" s="4">
        <v>314.90423974629675</v>
      </c>
      <c r="M1190" s="5">
        <v>72</v>
      </c>
      <c r="N1190" s="5">
        <v>59</v>
      </c>
      <c r="O1190" s="5">
        <v>9.6360697362366814</v>
      </c>
      <c r="P1190" s="5">
        <v>27.302197586003931</v>
      </c>
    </row>
    <row r="1191" spans="1:16">
      <c r="A1191" s="1" t="s">
        <v>1168</v>
      </c>
      <c r="B1191" s="1" t="s">
        <v>1161</v>
      </c>
      <c r="C1191" s="1">
        <v>2008</v>
      </c>
      <c r="D1191" s="1" t="s">
        <v>1711</v>
      </c>
      <c r="E1191" s="17">
        <v>39789</v>
      </c>
      <c r="F1191" s="18" t="str">
        <f t="shared" si="18"/>
        <v>PEPE2008_Diciembre</v>
      </c>
      <c r="G1191" s="1" t="s">
        <v>1511</v>
      </c>
      <c r="H1191" s="3">
        <v>5.138527777777778</v>
      </c>
      <c r="I1191" s="3">
        <v>-77.404499999999999</v>
      </c>
      <c r="J1191" s="12">
        <v>17.100000000000001</v>
      </c>
      <c r="K1191" s="12">
        <v>28.3</v>
      </c>
      <c r="L1191" s="4">
        <v>214.83785832349858</v>
      </c>
      <c r="M1191" s="5">
        <v>70</v>
      </c>
      <c r="N1191" s="5">
        <v>77</v>
      </c>
      <c r="O1191" s="5">
        <v>10.312217199527932</v>
      </c>
      <c r="P1191" s="5">
        <v>61.873303197167594</v>
      </c>
    </row>
    <row r="1192" spans="1:16">
      <c r="A1192" s="1" t="s">
        <v>1169</v>
      </c>
      <c r="B1192" s="1" t="s">
        <v>1161</v>
      </c>
      <c r="C1192" s="1">
        <v>2008</v>
      </c>
      <c r="D1192" s="1" t="s">
        <v>1711</v>
      </c>
      <c r="E1192" s="17">
        <v>39789</v>
      </c>
      <c r="F1192" s="18" t="str">
        <f t="shared" si="18"/>
        <v>PEPE2008_Diciembre</v>
      </c>
      <c r="G1192" s="1" t="s">
        <v>1383</v>
      </c>
      <c r="H1192" s="3">
        <v>5.0009166666666669</v>
      </c>
      <c r="I1192" s="3">
        <v>-77.400583333333344</v>
      </c>
      <c r="J1192" s="12">
        <v>11.2</v>
      </c>
      <c r="K1192" s="12">
        <v>27.4</v>
      </c>
      <c r="L1192" s="4">
        <v>210.83566275115322</v>
      </c>
      <c r="M1192" s="5">
        <v>40</v>
      </c>
      <c r="N1192" s="5">
        <v>36</v>
      </c>
      <c r="O1192" s="5">
        <v>5.397392966429523</v>
      </c>
      <c r="P1192" s="5">
        <v>2.6986964832147615</v>
      </c>
    </row>
    <row r="1193" spans="1:16">
      <c r="A1193" s="1" t="s">
        <v>1170</v>
      </c>
      <c r="B1193" s="1" t="s">
        <v>1161</v>
      </c>
      <c r="C1193" s="1">
        <v>2008</v>
      </c>
      <c r="D1193" s="1" t="s">
        <v>1711</v>
      </c>
      <c r="E1193" s="17">
        <v>39789</v>
      </c>
      <c r="F1193" s="18" t="str">
        <f t="shared" si="18"/>
        <v>PEPE2008_Diciembre</v>
      </c>
      <c r="G1193" s="1" t="s">
        <v>1384</v>
      </c>
      <c r="H1193" s="3">
        <v>5.0013888888888891</v>
      </c>
      <c r="I1193" s="3">
        <v>-77.457250000000002</v>
      </c>
      <c r="J1193" s="12">
        <v>13.2</v>
      </c>
      <c r="K1193" s="12">
        <v>27.6</v>
      </c>
      <c r="L1193" s="4">
        <v>203.0437455414766</v>
      </c>
      <c r="M1193" s="5">
        <v>16</v>
      </c>
      <c r="N1193" s="5">
        <v>86</v>
      </c>
      <c r="O1193" s="5">
        <v>0</v>
      </c>
      <c r="P1193" s="5">
        <v>32.283955541094784</v>
      </c>
    </row>
    <row r="1194" spans="1:16">
      <c r="A1194" s="1" t="s">
        <v>1171</v>
      </c>
      <c r="B1194" s="1" t="s">
        <v>1161</v>
      </c>
      <c r="C1194" s="1">
        <v>2008</v>
      </c>
      <c r="D1194" s="1" t="s">
        <v>1711</v>
      </c>
      <c r="E1194" s="17">
        <v>39789</v>
      </c>
      <c r="F1194" s="18" t="str">
        <f t="shared" si="18"/>
        <v>PEPE2008_Diciembre</v>
      </c>
      <c r="G1194" s="1" t="s">
        <v>1385</v>
      </c>
      <c r="H1194" s="3">
        <v>5.0005833333333332</v>
      </c>
      <c r="I1194" s="3">
        <v>-77.527611111111113</v>
      </c>
      <c r="J1194" s="12">
        <v>18.3</v>
      </c>
      <c r="K1194" s="12">
        <v>27.1</v>
      </c>
      <c r="L1194" s="4">
        <v>232.98868528660049</v>
      </c>
      <c r="M1194" s="5">
        <v>0</v>
      </c>
      <c r="N1194" s="5">
        <v>242</v>
      </c>
      <c r="O1194" s="1">
        <v>0</v>
      </c>
      <c r="P1194" s="5">
        <v>90.865587261774181</v>
      </c>
    </row>
    <row r="1195" spans="1:16">
      <c r="A1195" s="1" t="s">
        <v>1172</v>
      </c>
      <c r="B1195" s="1" t="s">
        <v>1161</v>
      </c>
      <c r="C1195" s="1">
        <v>2008</v>
      </c>
      <c r="D1195" s="1" t="s">
        <v>1711</v>
      </c>
      <c r="E1195" s="17">
        <v>39790</v>
      </c>
      <c r="F1195" s="18" t="str">
        <f t="shared" si="18"/>
        <v>PEPE2008_Diciembre</v>
      </c>
      <c r="G1195" s="1" t="s">
        <v>1388</v>
      </c>
      <c r="H1195" s="3">
        <v>4.8380833333333326</v>
      </c>
      <c r="I1195" s="3">
        <v>-77.375916666666654</v>
      </c>
      <c r="J1195" s="12">
        <v>17.3</v>
      </c>
      <c r="K1195" s="12">
        <v>26.9</v>
      </c>
      <c r="L1195" s="4">
        <v>322.44040958637908</v>
      </c>
      <c r="M1195" s="5">
        <v>401</v>
      </c>
      <c r="N1195" s="5">
        <v>45</v>
      </c>
      <c r="O1195" s="5">
        <v>359.72258194480418</v>
      </c>
      <c r="P1195" s="5">
        <v>8.2222304444526664</v>
      </c>
    </row>
    <row r="1196" spans="1:16">
      <c r="A1196" s="1" t="s">
        <v>1173</v>
      </c>
      <c r="B1196" s="1" t="s">
        <v>1161</v>
      </c>
      <c r="C1196" s="1">
        <v>2008</v>
      </c>
      <c r="D1196" s="1" t="s">
        <v>1711</v>
      </c>
      <c r="E1196" s="17">
        <v>39790</v>
      </c>
      <c r="F1196" s="18" t="str">
        <f t="shared" si="18"/>
        <v>PEPE2008_Diciembre</v>
      </c>
      <c r="G1196" s="1" t="s">
        <v>1631</v>
      </c>
      <c r="H1196" s="3">
        <v>4.7827500000000001</v>
      </c>
      <c r="I1196" s="3">
        <v>-77.373388888888883</v>
      </c>
      <c r="J1196" s="12">
        <v>9.5</v>
      </c>
      <c r="K1196" s="12">
        <v>26.4</v>
      </c>
      <c r="L1196" s="4">
        <v>163.17269862286486</v>
      </c>
      <c r="M1196" s="5">
        <v>79</v>
      </c>
      <c r="N1196" s="5">
        <v>11</v>
      </c>
      <c r="O1196" s="5">
        <v>33.678844995759306</v>
      </c>
      <c r="P1196" s="5">
        <v>5.4826026737282589</v>
      </c>
    </row>
    <row r="1197" spans="1:16">
      <c r="A1197" s="1" t="s">
        <v>1174</v>
      </c>
      <c r="B1197" s="1" t="s">
        <v>1161</v>
      </c>
      <c r="C1197" s="1">
        <v>2008</v>
      </c>
      <c r="D1197" s="1" t="s">
        <v>1711</v>
      </c>
      <c r="E1197" s="17">
        <v>39790</v>
      </c>
      <c r="F1197" s="18" t="str">
        <f t="shared" si="18"/>
        <v>PEPE2008_Diciembre</v>
      </c>
      <c r="G1197" s="1" t="s">
        <v>1548</v>
      </c>
      <c r="H1197" s="3">
        <v>4.670583333333334</v>
      </c>
      <c r="I1197" s="3">
        <v>-77.356333333333325</v>
      </c>
      <c r="J1197" s="12">
        <v>17.5</v>
      </c>
      <c r="K1197" s="12">
        <v>26.8</v>
      </c>
      <c r="L1197" s="4">
        <v>168.11732585386076</v>
      </c>
      <c r="M1197" s="5">
        <v>386</v>
      </c>
      <c r="N1197" s="5">
        <v>149</v>
      </c>
      <c r="O1197" s="5">
        <v>182.9116505290005</v>
      </c>
      <c r="P1197" s="5">
        <v>51.443901711281391</v>
      </c>
    </row>
    <row r="1198" spans="1:16">
      <c r="A1198" s="1" t="s">
        <v>1175</v>
      </c>
      <c r="B1198" s="1" t="s">
        <v>1161</v>
      </c>
      <c r="C1198" s="1">
        <v>2008</v>
      </c>
      <c r="D1198" s="1" t="s">
        <v>1711</v>
      </c>
      <c r="E1198" s="17">
        <v>39790</v>
      </c>
      <c r="F1198" s="18" t="str">
        <f t="shared" si="18"/>
        <v>PEPE2008_Diciembre</v>
      </c>
      <c r="G1198" s="1" t="s">
        <v>1583</v>
      </c>
      <c r="H1198" s="3">
        <v>4.4416388888888889</v>
      </c>
      <c r="I1198" s="3">
        <v>-77.39166666666668</v>
      </c>
      <c r="J1198" s="12">
        <v>18</v>
      </c>
      <c r="K1198" s="12">
        <v>27.5</v>
      </c>
      <c r="L1198" s="4">
        <v>301.64334692115949</v>
      </c>
      <c r="M1198" s="5">
        <v>1410</v>
      </c>
      <c r="N1198" s="5">
        <v>249</v>
      </c>
      <c r="O1198" s="5">
        <v>595.24287125775481</v>
      </c>
      <c r="P1198" s="5">
        <v>89.286430688663231</v>
      </c>
    </row>
    <row r="1199" spans="1:16">
      <c r="A1199" s="1" t="s">
        <v>1176</v>
      </c>
      <c r="B1199" s="1" t="s">
        <v>1161</v>
      </c>
      <c r="C1199" s="1">
        <v>2008</v>
      </c>
      <c r="D1199" s="1" t="s">
        <v>1711</v>
      </c>
      <c r="E1199" s="17">
        <v>39790</v>
      </c>
      <c r="F1199" s="18" t="str">
        <f t="shared" si="18"/>
        <v>PEPE2008_Diciembre</v>
      </c>
      <c r="G1199" s="1" t="s">
        <v>1399</v>
      </c>
      <c r="H1199" s="3">
        <v>4.4996111111111112</v>
      </c>
      <c r="I1199" s="3">
        <v>-77.422277777777779</v>
      </c>
      <c r="J1199" s="12">
        <v>17.100000000000001</v>
      </c>
      <c r="K1199" s="12">
        <v>27.8</v>
      </c>
      <c r="L1199" s="4">
        <v>329.76860071334227</v>
      </c>
      <c r="M1199" s="5">
        <v>237</v>
      </c>
      <c r="N1199" s="5">
        <v>191</v>
      </c>
      <c r="O1199" s="5">
        <v>191.13388097345316</v>
      </c>
      <c r="P1199" s="5">
        <v>81.914520417194211</v>
      </c>
    </row>
    <row r="1200" spans="1:16">
      <c r="A1200" s="1" t="s">
        <v>1177</v>
      </c>
      <c r="B1200" s="1" t="s">
        <v>1161</v>
      </c>
      <c r="C1200" s="1">
        <v>2008</v>
      </c>
      <c r="D1200" s="1" t="s">
        <v>1711</v>
      </c>
      <c r="E1200" s="17">
        <v>39790</v>
      </c>
      <c r="F1200" s="18" t="str">
        <f t="shared" si="18"/>
        <v>PEPE2008_Diciembre</v>
      </c>
      <c r="G1200" s="1" t="s">
        <v>1587</v>
      </c>
      <c r="H1200" s="3">
        <v>4.2507222222222225</v>
      </c>
      <c r="I1200" s="3">
        <v>-77.470444444444453</v>
      </c>
      <c r="J1200" s="12">
        <v>1.5</v>
      </c>
      <c r="K1200" s="12">
        <v>26</v>
      </c>
      <c r="L1200" s="4">
        <v>110.95743506354809</v>
      </c>
      <c r="M1200" s="5">
        <v>0</v>
      </c>
      <c r="N1200" s="5">
        <v>2</v>
      </c>
      <c r="O1200" s="1">
        <v>0</v>
      </c>
      <c r="P1200" s="5">
        <v>1.4202551688134155</v>
      </c>
    </row>
    <row r="1201" spans="1:16">
      <c r="A1201" s="1" t="s">
        <v>1178</v>
      </c>
      <c r="B1201" s="1" t="s">
        <v>1161</v>
      </c>
      <c r="C1201" s="1">
        <v>2008</v>
      </c>
      <c r="D1201" s="1" t="s">
        <v>1711</v>
      </c>
      <c r="E1201" s="17">
        <v>39790</v>
      </c>
      <c r="F1201" s="18" t="str">
        <f t="shared" si="18"/>
        <v>PEPE2008_Diciembre</v>
      </c>
      <c r="G1201" s="1" t="s">
        <v>1588</v>
      </c>
      <c r="H1201" s="3">
        <v>4.2625000000000002</v>
      </c>
      <c r="I1201" s="3">
        <v>-77.499305555555551</v>
      </c>
      <c r="J1201" s="12">
        <v>10.6</v>
      </c>
      <c r="K1201" s="12">
        <v>26.9</v>
      </c>
      <c r="L1201" s="4">
        <v>83.909092352327292</v>
      </c>
      <c r="M1201" s="5">
        <v>1</v>
      </c>
      <c r="N1201" s="5">
        <v>3</v>
      </c>
      <c r="O1201" s="5">
        <v>0</v>
      </c>
      <c r="P1201" s="5">
        <v>0</v>
      </c>
    </row>
    <row r="1202" spans="1:16">
      <c r="A1202" s="1" t="s">
        <v>1179</v>
      </c>
      <c r="B1202" s="1" t="s">
        <v>1161</v>
      </c>
      <c r="C1202" s="1">
        <v>2008</v>
      </c>
      <c r="D1202" s="1" t="s">
        <v>1711</v>
      </c>
      <c r="E1202" s="17">
        <v>39790</v>
      </c>
      <c r="F1202" s="18" t="str">
        <f t="shared" si="18"/>
        <v>PEPE2008_Diciembre</v>
      </c>
      <c r="G1202" s="1" t="s">
        <v>1691</v>
      </c>
      <c r="H1202" s="3">
        <v>4.2773302400000004</v>
      </c>
      <c r="I1202" s="3">
        <v>-77.480388888888896</v>
      </c>
      <c r="J1202" s="12">
        <v>8.1999999999999993</v>
      </c>
      <c r="K1202" s="12">
        <v>26.8</v>
      </c>
      <c r="L1202" s="4">
        <v>400.31332684217267</v>
      </c>
      <c r="M1202" s="5">
        <v>1</v>
      </c>
      <c r="N1202" s="5">
        <v>8</v>
      </c>
      <c r="O1202" s="5">
        <v>0</v>
      </c>
      <c r="P1202" s="5">
        <v>4.179271132232282</v>
      </c>
    </row>
    <row r="1203" spans="1:16">
      <c r="A1203" s="1" t="s">
        <v>1180</v>
      </c>
      <c r="B1203" s="1" t="s">
        <v>1161</v>
      </c>
      <c r="C1203" s="1">
        <v>2008</v>
      </c>
      <c r="D1203" s="1" t="s">
        <v>1711</v>
      </c>
      <c r="E1203" s="17">
        <v>39790</v>
      </c>
      <c r="F1203" s="18" t="str">
        <f t="shared" si="18"/>
        <v>PEPE2008_Diciembre</v>
      </c>
      <c r="G1203" s="1" t="s">
        <v>1550</v>
      </c>
      <c r="H1203" s="3">
        <v>4.3283611111111107</v>
      </c>
      <c r="I1203" s="3">
        <v>-77.582361111111112</v>
      </c>
      <c r="J1203" s="12">
        <v>17.3</v>
      </c>
      <c r="K1203" s="12">
        <v>28.1</v>
      </c>
      <c r="L1203" s="4">
        <v>218.31902732411086</v>
      </c>
      <c r="M1203" s="5">
        <v>95</v>
      </c>
      <c r="N1203" s="5">
        <v>6</v>
      </c>
      <c r="O1203" s="5">
        <v>0</v>
      </c>
      <c r="P1203" s="5">
        <v>284.25137357599232</v>
      </c>
    </row>
    <row r="1204" spans="1:16">
      <c r="A1204" s="1" t="s">
        <v>1181</v>
      </c>
      <c r="B1204" s="1" t="s">
        <v>1161</v>
      </c>
      <c r="C1204" s="1">
        <v>2008</v>
      </c>
      <c r="D1204" s="1" t="s">
        <v>1711</v>
      </c>
      <c r="E1204" s="17">
        <v>39790</v>
      </c>
      <c r="F1204" s="18" t="str">
        <f t="shared" si="18"/>
        <v>PEPE2008_Diciembre</v>
      </c>
      <c r="G1204" s="1" t="s">
        <v>1405</v>
      </c>
      <c r="H1204" s="3">
        <v>4.3346944444444437</v>
      </c>
      <c r="I1204" s="3">
        <v>-77.666833333333344</v>
      </c>
      <c r="J1204" s="12">
        <v>17.399999999999999</v>
      </c>
      <c r="K1204" s="12">
        <v>28.2</v>
      </c>
      <c r="L1204" s="4">
        <v>173.69027588216554</v>
      </c>
      <c r="M1204" s="5">
        <v>44</v>
      </c>
      <c r="N1204" s="5">
        <v>591</v>
      </c>
      <c r="O1204" s="5">
        <v>0</v>
      </c>
      <c r="P1204" s="5">
        <v>415.81452046190429</v>
      </c>
    </row>
    <row r="1205" spans="1:16">
      <c r="A1205" s="1" t="s">
        <v>1182</v>
      </c>
      <c r="B1205" s="1" t="s">
        <v>1161</v>
      </c>
      <c r="C1205" s="1">
        <v>2008</v>
      </c>
      <c r="D1205" s="1" t="s">
        <v>1711</v>
      </c>
      <c r="E1205" s="17">
        <v>39791</v>
      </c>
      <c r="F1205" s="18" t="str">
        <f t="shared" si="18"/>
        <v>PEPE2008_Diciembre</v>
      </c>
      <c r="G1205" s="1" t="s">
        <v>1408</v>
      </c>
      <c r="H1205" s="3">
        <v>4.1670555555555557</v>
      </c>
      <c r="I1205" s="3">
        <v>-77.541499999999999</v>
      </c>
      <c r="J1205" s="12">
        <v>8.1</v>
      </c>
      <c r="K1205" s="12">
        <v>25.8</v>
      </c>
      <c r="L1205" s="4">
        <v>93.565297424618919</v>
      </c>
      <c r="M1205" s="5">
        <v>0</v>
      </c>
      <c r="N1205" s="5">
        <v>3</v>
      </c>
      <c r="O1205" s="1">
        <v>0</v>
      </c>
      <c r="P1205" s="5">
        <v>2.956663398617958</v>
      </c>
    </row>
    <row r="1206" spans="1:16">
      <c r="A1206" s="1" t="s">
        <v>1183</v>
      </c>
      <c r="B1206" s="1" t="s">
        <v>1161</v>
      </c>
      <c r="C1206" s="1">
        <v>2008</v>
      </c>
      <c r="D1206" s="1" t="s">
        <v>1711</v>
      </c>
      <c r="E1206" s="17">
        <v>39790</v>
      </c>
      <c r="F1206" s="18" t="str">
        <f t="shared" si="18"/>
        <v>PEPE2008_Diciembre</v>
      </c>
      <c r="G1206" s="1" t="s">
        <v>1409</v>
      </c>
      <c r="H1206" s="3">
        <v>4.1678333333333333</v>
      </c>
      <c r="I1206" s="3">
        <v>-77.605833333333322</v>
      </c>
      <c r="J1206" s="12">
        <v>10.8</v>
      </c>
      <c r="K1206" s="12">
        <v>26.3</v>
      </c>
      <c r="L1206" s="4">
        <v>168.81948652270145</v>
      </c>
      <c r="M1206" s="5">
        <v>32</v>
      </c>
      <c r="N1206" s="5">
        <v>289</v>
      </c>
      <c r="O1206" s="5">
        <v>16.037851219656638</v>
      </c>
      <c r="P1206" s="5">
        <v>96.227107317939826</v>
      </c>
    </row>
    <row r="1207" spans="1:16">
      <c r="A1207" s="1" t="s">
        <v>1184</v>
      </c>
      <c r="B1207" s="1" t="s">
        <v>1161</v>
      </c>
      <c r="C1207" s="1">
        <v>2008</v>
      </c>
      <c r="D1207" s="1" t="s">
        <v>1711</v>
      </c>
      <c r="E1207" s="17">
        <v>39791</v>
      </c>
      <c r="F1207" s="18" t="str">
        <f t="shared" si="18"/>
        <v>PEPE2008_Diciembre</v>
      </c>
      <c r="G1207" s="1" t="s">
        <v>1592</v>
      </c>
      <c r="H1207" s="3">
        <v>3.9693611111111111</v>
      </c>
      <c r="I1207" s="3">
        <v>-77.320138888888891</v>
      </c>
      <c r="J1207" s="12">
        <v>20</v>
      </c>
      <c r="K1207" s="12">
        <v>27.4</v>
      </c>
      <c r="L1207" s="4">
        <v>159.31388480408089</v>
      </c>
      <c r="M1207" s="5">
        <v>268</v>
      </c>
      <c r="N1207" s="5">
        <v>473</v>
      </c>
      <c r="O1207" s="5">
        <v>0</v>
      </c>
      <c r="P1207" s="5">
        <v>126.17659676483206</v>
      </c>
    </row>
    <row r="1208" spans="1:16">
      <c r="A1208" s="1" t="s">
        <v>1185</v>
      </c>
      <c r="B1208" s="1" t="s">
        <v>1161</v>
      </c>
      <c r="C1208" s="1">
        <v>2008</v>
      </c>
      <c r="D1208" s="1" t="s">
        <v>1711</v>
      </c>
      <c r="E1208" s="17">
        <v>39791</v>
      </c>
      <c r="F1208" s="18" t="str">
        <f t="shared" si="18"/>
        <v>PEPE2008_Diciembre</v>
      </c>
      <c r="G1208" s="1" t="s">
        <v>1594</v>
      </c>
      <c r="H1208" s="3">
        <v>3.98333</v>
      </c>
      <c r="I1208" s="3">
        <v>-77.283330000000007</v>
      </c>
      <c r="J1208" s="12">
        <v>20.9</v>
      </c>
      <c r="K1208" s="12">
        <v>28.2</v>
      </c>
      <c r="L1208" s="4">
        <v>158.77747441753516</v>
      </c>
      <c r="M1208" s="5">
        <v>6</v>
      </c>
      <c r="N1208" s="5">
        <v>22</v>
      </c>
      <c r="O1208" s="5">
        <v>0</v>
      </c>
      <c r="P1208" s="5">
        <v>1.7386133448720098</v>
      </c>
    </row>
    <row r="1209" spans="1:16">
      <c r="A1209" s="1" t="s">
        <v>1186</v>
      </c>
      <c r="B1209" s="1" t="s">
        <v>1161</v>
      </c>
      <c r="C1209" s="1">
        <v>2008</v>
      </c>
      <c r="D1209" s="1" t="s">
        <v>1711</v>
      </c>
      <c r="E1209" s="17">
        <v>39785</v>
      </c>
      <c r="F1209" s="18" t="str">
        <f t="shared" si="18"/>
        <v>PEPE2008_Diciembre</v>
      </c>
      <c r="G1209" s="1" t="s">
        <v>1595</v>
      </c>
      <c r="H1209" s="3">
        <v>3.8214999999999999</v>
      </c>
      <c r="I1209" s="3">
        <v>-77.163972222222228</v>
      </c>
      <c r="J1209" s="12">
        <v>15.2</v>
      </c>
      <c r="K1209" s="12">
        <v>27</v>
      </c>
      <c r="L1209" s="4">
        <v>198.69484509273008</v>
      </c>
      <c r="M1209" s="5">
        <v>10</v>
      </c>
      <c r="N1209" s="5">
        <v>36</v>
      </c>
      <c r="O1209" s="5">
        <v>0</v>
      </c>
      <c r="P1209" s="5">
        <v>23.247296875849418</v>
      </c>
    </row>
    <row r="1210" spans="1:16">
      <c r="A1210" s="1" t="s">
        <v>1187</v>
      </c>
      <c r="B1210" s="1" t="s">
        <v>1161</v>
      </c>
      <c r="C1210" s="1">
        <v>2008</v>
      </c>
      <c r="D1210" s="1" t="s">
        <v>1711</v>
      </c>
      <c r="E1210" s="17">
        <v>39785</v>
      </c>
      <c r="F1210" s="18" t="str">
        <f t="shared" si="18"/>
        <v>PEPE2008_Diciembre</v>
      </c>
      <c r="G1210" s="1" t="s">
        <v>1596</v>
      </c>
      <c r="H1210" s="3">
        <v>3.8771666666666667</v>
      </c>
      <c r="I1210" s="3">
        <v>-77.11063587000001</v>
      </c>
      <c r="J1210" s="12">
        <v>7.2</v>
      </c>
      <c r="K1210" s="12">
        <v>26.6</v>
      </c>
      <c r="L1210" s="4">
        <v>28.824517055017079</v>
      </c>
      <c r="M1210" s="5">
        <v>0</v>
      </c>
      <c r="N1210" s="5">
        <v>10</v>
      </c>
      <c r="O1210" s="1">
        <v>0</v>
      </c>
      <c r="P1210" s="5">
        <v>3.9201343194823233</v>
      </c>
    </row>
    <row r="1211" spans="1:16">
      <c r="A1211" s="1" t="s">
        <v>1188</v>
      </c>
      <c r="B1211" s="1" t="s">
        <v>1161</v>
      </c>
      <c r="C1211" s="1">
        <v>2008</v>
      </c>
      <c r="D1211" s="1" t="s">
        <v>1711</v>
      </c>
      <c r="E1211" s="17">
        <v>39795</v>
      </c>
      <c r="F1211" s="18" t="str">
        <f t="shared" si="18"/>
        <v>PEPE2008_Diciembre</v>
      </c>
      <c r="G1211" s="1" t="s">
        <v>1622</v>
      </c>
      <c r="H1211" s="3">
        <v>3.9058888888888887</v>
      </c>
      <c r="I1211" s="3">
        <v>-77.093111111111099</v>
      </c>
      <c r="J1211" s="12">
        <v>7.2</v>
      </c>
      <c r="K1211" s="12">
        <v>26.7</v>
      </c>
      <c r="L1211" s="4">
        <v>39.997379051745497</v>
      </c>
      <c r="M1211" s="5">
        <v>0</v>
      </c>
      <c r="N1211" s="5">
        <v>28</v>
      </c>
      <c r="O1211" s="1">
        <v>0</v>
      </c>
      <c r="P1211" s="5">
        <v>0</v>
      </c>
    </row>
    <row r="1212" spans="1:16">
      <c r="A1212" s="1" t="s">
        <v>1189</v>
      </c>
      <c r="B1212" s="1" t="s">
        <v>1161</v>
      </c>
      <c r="C1212" s="1">
        <v>2008</v>
      </c>
      <c r="D1212" s="1" t="s">
        <v>1711</v>
      </c>
      <c r="E1212" s="17">
        <v>39785</v>
      </c>
      <c r="F1212" s="18" t="str">
        <f t="shared" si="18"/>
        <v>PEPE2008_Diciembre</v>
      </c>
      <c r="G1212" s="1" t="s">
        <v>1597</v>
      </c>
      <c r="H1212" s="3">
        <v>3.9304166666666664</v>
      </c>
      <c r="I1212" s="3">
        <v>-77.118305555555551</v>
      </c>
      <c r="J1212" s="12">
        <v>5.6</v>
      </c>
      <c r="K1212" s="12">
        <v>26.6</v>
      </c>
      <c r="L1212" s="4">
        <v>86.685496143396946</v>
      </c>
      <c r="M1212" s="5">
        <v>0</v>
      </c>
      <c r="N1212" s="5">
        <v>44</v>
      </c>
      <c r="O1212" s="1">
        <v>0</v>
      </c>
      <c r="P1212" s="5">
        <v>41.262296164256952</v>
      </c>
    </row>
    <row r="1213" spans="1:16">
      <c r="A1213" s="1" t="s">
        <v>1190</v>
      </c>
      <c r="B1213" s="1" t="s">
        <v>1161</v>
      </c>
      <c r="C1213" s="1">
        <v>2008</v>
      </c>
      <c r="D1213" s="1" t="s">
        <v>1711</v>
      </c>
      <c r="E1213" s="17">
        <v>39792</v>
      </c>
      <c r="F1213" s="18" t="str">
        <f t="shared" si="18"/>
        <v>PEPE2008_Diciembre</v>
      </c>
      <c r="G1213" s="1" t="s">
        <v>1417</v>
      </c>
      <c r="H1213" s="3">
        <v>3.8343055555555559</v>
      </c>
      <c r="I1213" s="3">
        <v>-77.322527777777779</v>
      </c>
      <c r="J1213" s="12">
        <v>21.1</v>
      </c>
      <c r="K1213" s="12">
        <v>27.4</v>
      </c>
      <c r="L1213" s="4">
        <v>254.44375846407161</v>
      </c>
      <c r="M1213" s="5">
        <v>93</v>
      </c>
      <c r="N1213" s="5">
        <v>107</v>
      </c>
      <c r="O1213" s="5">
        <v>9.7706403250203504</v>
      </c>
      <c r="P1213" s="5">
        <v>48.853201625101754</v>
      </c>
    </row>
    <row r="1214" spans="1:16">
      <c r="A1214" s="1" t="s">
        <v>1191</v>
      </c>
      <c r="B1214" s="1" t="s">
        <v>1161</v>
      </c>
      <c r="C1214" s="1">
        <v>2008</v>
      </c>
      <c r="D1214" s="1" t="s">
        <v>1711</v>
      </c>
      <c r="E1214" s="17">
        <v>39791</v>
      </c>
      <c r="F1214" s="18" t="str">
        <f t="shared" si="18"/>
        <v>PEPE2008_Diciembre</v>
      </c>
      <c r="G1214" s="1" t="s">
        <v>1418</v>
      </c>
      <c r="H1214" s="3">
        <v>3.8338050900000002</v>
      </c>
      <c r="I1214" s="3">
        <v>-77.38911111111112</v>
      </c>
      <c r="J1214" s="12">
        <v>21.8</v>
      </c>
      <c r="K1214" s="12">
        <v>27.5</v>
      </c>
      <c r="L1214" s="4">
        <v>312.29741656958902</v>
      </c>
      <c r="M1214" s="5">
        <v>192</v>
      </c>
      <c r="N1214" s="5">
        <v>979</v>
      </c>
      <c r="O1214" s="5">
        <v>69.954621311587943</v>
      </c>
      <c r="P1214" s="5">
        <v>507.17100450901256</v>
      </c>
    </row>
    <row r="1215" spans="1:16">
      <c r="A1215" s="1" t="s">
        <v>1192</v>
      </c>
      <c r="B1215" s="1" t="s">
        <v>1161</v>
      </c>
      <c r="C1215" s="1">
        <v>2008</v>
      </c>
      <c r="D1215" s="1" t="s">
        <v>1711</v>
      </c>
      <c r="E1215" s="17">
        <v>39791</v>
      </c>
      <c r="F1215" s="18" t="str">
        <f t="shared" si="18"/>
        <v>PEPE2008_Diciembre</v>
      </c>
      <c r="G1215" s="1" t="s">
        <v>1419</v>
      </c>
      <c r="H1215" s="3">
        <v>3.8343888888888888</v>
      </c>
      <c r="I1215" s="3">
        <v>-77.472777777777779</v>
      </c>
      <c r="J1215" s="12">
        <v>24.1</v>
      </c>
      <c r="K1215" s="12">
        <v>27.2</v>
      </c>
      <c r="L1215" s="4">
        <v>251.90656998935864</v>
      </c>
      <c r="M1215" s="5">
        <v>18</v>
      </c>
      <c r="N1215" s="5">
        <v>300</v>
      </c>
      <c r="O1215" s="5">
        <v>0</v>
      </c>
      <c r="P1215" s="5">
        <v>158.70113909329598</v>
      </c>
    </row>
    <row r="1216" spans="1:16">
      <c r="A1216" s="1" t="s">
        <v>1193</v>
      </c>
      <c r="B1216" s="1" t="s">
        <v>1161</v>
      </c>
      <c r="C1216" s="1">
        <v>2008</v>
      </c>
      <c r="D1216" s="1" t="s">
        <v>1711</v>
      </c>
      <c r="E1216" s="17">
        <v>39792</v>
      </c>
      <c r="F1216" s="18" t="str">
        <f t="shared" si="18"/>
        <v>PEPE2008_Diciembre</v>
      </c>
      <c r="G1216" s="1" t="s">
        <v>1598</v>
      </c>
      <c r="H1216" s="3">
        <v>3.65946931</v>
      </c>
      <c r="I1216" s="3">
        <v>-77.251443940000001</v>
      </c>
      <c r="J1216" s="12">
        <v>19.2</v>
      </c>
      <c r="K1216" s="12">
        <v>27.7</v>
      </c>
      <c r="L1216" s="4">
        <v>492.50036451183229</v>
      </c>
      <c r="M1216" s="5">
        <v>88</v>
      </c>
      <c r="N1216" s="5">
        <v>11</v>
      </c>
      <c r="O1216" s="5">
        <v>0</v>
      </c>
      <c r="P1216" s="5">
        <v>1.206625893053989</v>
      </c>
    </row>
    <row r="1217" spans="1:16">
      <c r="A1217" s="1" t="s">
        <v>1194</v>
      </c>
      <c r="B1217" s="1" t="s">
        <v>1161</v>
      </c>
      <c r="C1217" s="1">
        <v>2008</v>
      </c>
      <c r="D1217" s="1" t="s">
        <v>1711</v>
      </c>
      <c r="E1217" s="17">
        <v>39791</v>
      </c>
      <c r="F1217" s="18" t="str">
        <f t="shared" si="18"/>
        <v>PEPE2008_Diciembre</v>
      </c>
      <c r="G1217" s="1" t="s">
        <v>1555</v>
      </c>
      <c r="H1217" s="3">
        <v>3.6656666666666666</v>
      </c>
      <c r="I1217" s="3">
        <v>-77.270416666666662</v>
      </c>
      <c r="J1217" s="12">
        <v>22.5</v>
      </c>
      <c r="K1217" s="12">
        <v>27.8</v>
      </c>
      <c r="L1217" s="4">
        <v>333.85422939474648</v>
      </c>
      <c r="M1217" s="5">
        <v>31</v>
      </c>
      <c r="N1217" s="5">
        <v>187</v>
      </c>
      <c r="O1217" s="5">
        <v>0</v>
      </c>
      <c r="P1217" s="5">
        <v>141.88804749276727</v>
      </c>
    </row>
    <row r="1218" spans="1:16">
      <c r="A1218" s="1" t="s">
        <v>1195</v>
      </c>
      <c r="B1218" s="1" t="s">
        <v>1161</v>
      </c>
      <c r="C1218" s="1">
        <v>2008</v>
      </c>
      <c r="D1218" s="1" t="s">
        <v>1711</v>
      </c>
      <c r="E1218" s="17">
        <v>39791</v>
      </c>
      <c r="F1218" s="18" t="str">
        <f t="shared" si="18"/>
        <v>PEPE2008_Diciembre</v>
      </c>
      <c r="G1218" s="1" t="s">
        <v>1424</v>
      </c>
      <c r="H1218" s="3">
        <v>3.6663333333333332</v>
      </c>
      <c r="I1218" s="3">
        <v>-77.356250000000003</v>
      </c>
      <c r="J1218" s="12">
        <v>23.5</v>
      </c>
      <c r="K1218" s="12">
        <v>27.4</v>
      </c>
      <c r="L1218" s="4">
        <v>376.65263500006341</v>
      </c>
      <c r="M1218" s="5">
        <v>564</v>
      </c>
      <c r="N1218" s="5">
        <v>1065</v>
      </c>
      <c r="O1218" s="5">
        <v>516.82014658898697</v>
      </c>
      <c r="P1218" s="5">
        <v>579.46501284219755</v>
      </c>
    </row>
    <row r="1219" spans="1:16">
      <c r="A1219" s="1" t="s">
        <v>1196</v>
      </c>
      <c r="B1219" s="1" t="s">
        <v>1161</v>
      </c>
      <c r="C1219" s="1">
        <v>2008</v>
      </c>
      <c r="D1219" s="1" t="s">
        <v>1711</v>
      </c>
      <c r="E1219" s="17">
        <v>39793</v>
      </c>
      <c r="F1219" s="18" t="str">
        <f t="shared" ref="F1219:F1282" si="19">"PEPE"&amp;C1219&amp;"_"&amp;D1219</f>
        <v>PEPE2008_Diciembre</v>
      </c>
      <c r="G1219" s="1" t="s">
        <v>1599</v>
      </c>
      <c r="H1219" s="3">
        <v>3.5153333333333334</v>
      </c>
      <c r="I1219" s="3">
        <v>-77.306749999999994</v>
      </c>
      <c r="J1219" s="12">
        <v>12.6</v>
      </c>
      <c r="K1219" s="12">
        <v>26.5</v>
      </c>
      <c r="L1219" s="4">
        <v>255.36232798921267</v>
      </c>
      <c r="M1219" s="5">
        <v>0</v>
      </c>
      <c r="N1219" s="5">
        <v>1</v>
      </c>
      <c r="O1219" s="1">
        <v>0</v>
      </c>
      <c r="P1219" s="5">
        <v>0.61286958717411033</v>
      </c>
    </row>
    <row r="1220" spans="1:16">
      <c r="A1220" s="1" t="s">
        <v>1197</v>
      </c>
      <c r="B1220" s="1" t="s">
        <v>1161</v>
      </c>
      <c r="C1220" s="1">
        <v>2008</v>
      </c>
      <c r="D1220" s="1" t="s">
        <v>1711</v>
      </c>
      <c r="E1220" s="17">
        <v>39793</v>
      </c>
      <c r="F1220" s="18" t="str">
        <f t="shared" si="19"/>
        <v>PEPE2008_Diciembre</v>
      </c>
      <c r="G1220" s="1" t="s">
        <v>1600</v>
      </c>
      <c r="H1220" s="3">
        <v>3.4712777777777779</v>
      </c>
      <c r="I1220" s="3">
        <v>-77.299833333333325</v>
      </c>
      <c r="J1220" s="12">
        <v>0.6</v>
      </c>
      <c r="K1220" s="12">
        <v>25.2</v>
      </c>
      <c r="L1220" s="4">
        <v>246.12165919628362</v>
      </c>
      <c r="M1220" s="5">
        <v>1</v>
      </c>
      <c r="N1220" s="5">
        <v>6</v>
      </c>
      <c r="O1220" s="5">
        <v>0</v>
      </c>
      <c r="P1220" s="5">
        <v>6.0250582171250233</v>
      </c>
    </row>
    <row r="1221" spans="1:16">
      <c r="A1221" s="1" t="s">
        <v>1198</v>
      </c>
      <c r="B1221" s="1" t="s">
        <v>1161</v>
      </c>
      <c r="C1221" s="1">
        <v>2008</v>
      </c>
      <c r="D1221" s="1" t="s">
        <v>1711</v>
      </c>
      <c r="E1221" s="17">
        <v>39792</v>
      </c>
      <c r="F1221" s="18" t="str">
        <f t="shared" si="19"/>
        <v>PEPE2008_Diciembre</v>
      </c>
      <c r="G1221" s="1" t="s">
        <v>1427</v>
      </c>
      <c r="H1221" s="3">
        <v>3.5050833333333333</v>
      </c>
      <c r="I1221" s="3">
        <v>-77.379694444444439</v>
      </c>
      <c r="J1221" s="12">
        <v>21.4</v>
      </c>
      <c r="K1221" s="12">
        <v>27.6</v>
      </c>
      <c r="L1221" s="4">
        <v>321.52438569550867</v>
      </c>
      <c r="M1221" s="5">
        <v>27</v>
      </c>
      <c r="N1221" s="5">
        <v>70</v>
      </c>
      <c r="O1221" s="5">
        <v>0</v>
      </c>
      <c r="P1221" s="5">
        <v>48.035743222908991</v>
      </c>
    </row>
    <row r="1222" spans="1:16">
      <c r="A1222" s="1" t="s">
        <v>1199</v>
      </c>
      <c r="B1222" s="1" t="s">
        <v>1161</v>
      </c>
      <c r="C1222" s="1">
        <v>2008</v>
      </c>
      <c r="D1222" s="1" t="s">
        <v>1711</v>
      </c>
      <c r="E1222" s="17">
        <v>39792</v>
      </c>
      <c r="F1222" s="18" t="str">
        <f t="shared" si="19"/>
        <v>PEPE2008_Diciembre</v>
      </c>
      <c r="G1222" s="1" t="s">
        <v>1428</v>
      </c>
      <c r="H1222" s="3">
        <v>3.5000555555555555</v>
      </c>
      <c r="I1222" s="3">
        <v>-77.448416666666674</v>
      </c>
      <c r="J1222" s="12">
        <v>25.4</v>
      </c>
      <c r="K1222" s="12">
        <v>27.2</v>
      </c>
      <c r="L1222" s="4">
        <v>135.89887579829377</v>
      </c>
      <c r="M1222" s="5">
        <v>469</v>
      </c>
      <c r="N1222" s="5">
        <v>598</v>
      </c>
      <c r="O1222" s="5">
        <v>0</v>
      </c>
      <c r="P1222" s="5">
        <v>410.24473131609932</v>
      </c>
    </row>
    <row r="1223" spans="1:16">
      <c r="A1223" s="1" t="s">
        <v>1200</v>
      </c>
      <c r="B1223" s="1" t="s">
        <v>1161</v>
      </c>
      <c r="C1223" s="1">
        <v>2008</v>
      </c>
      <c r="D1223" s="1" t="s">
        <v>1711</v>
      </c>
      <c r="E1223" s="17">
        <v>39793</v>
      </c>
      <c r="F1223" s="18" t="str">
        <f t="shared" si="19"/>
        <v>PEPE2008_Diciembre</v>
      </c>
      <c r="G1223" s="1" t="s">
        <v>1558</v>
      </c>
      <c r="H1223" s="3">
        <v>3.3341111111111115</v>
      </c>
      <c r="I1223" s="3">
        <v>-77.50844444444445</v>
      </c>
      <c r="J1223" s="12">
        <v>24.3</v>
      </c>
      <c r="K1223" s="12">
        <v>27.5</v>
      </c>
      <c r="L1223" s="4">
        <v>245.18324039172239</v>
      </c>
      <c r="M1223" s="5">
        <v>451</v>
      </c>
      <c r="N1223" s="5">
        <v>128</v>
      </c>
      <c r="O1223" s="5">
        <v>313.39321786869954</v>
      </c>
      <c r="P1223" s="5">
        <v>61.728967155955964</v>
      </c>
    </row>
    <row r="1224" spans="1:16">
      <c r="A1224" s="1" t="s">
        <v>1201</v>
      </c>
      <c r="B1224" s="1" t="s">
        <v>1161</v>
      </c>
      <c r="C1224" s="1">
        <v>2008</v>
      </c>
      <c r="D1224" s="1" t="s">
        <v>1711</v>
      </c>
      <c r="E1224" s="17">
        <v>39793</v>
      </c>
      <c r="F1224" s="18" t="str">
        <f t="shared" si="19"/>
        <v>PEPE2008_Diciembre</v>
      </c>
      <c r="G1224" s="1" t="s">
        <v>1559</v>
      </c>
      <c r="H1224" s="3">
        <v>3.3326944444444444</v>
      </c>
      <c r="I1224" s="3">
        <v>-77.571166666666656</v>
      </c>
      <c r="J1224" s="12">
        <v>26.3</v>
      </c>
      <c r="K1224" s="12">
        <v>27.4</v>
      </c>
      <c r="L1224" s="4">
        <v>68.741851169107775</v>
      </c>
      <c r="M1224" s="5">
        <v>107</v>
      </c>
      <c r="N1224" s="5">
        <v>188</v>
      </c>
      <c r="O1224" s="5">
        <v>0</v>
      </c>
      <c r="P1224" s="5">
        <v>67.023304889880094</v>
      </c>
    </row>
    <row r="1225" spans="1:16">
      <c r="A1225" s="1" t="s">
        <v>1202</v>
      </c>
      <c r="B1225" s="1" t="s">
        <v>1161</v>
      </c>
      <c r="C1225" s="1">
        <v>2008</v>
      </c>
      <c r="D1225" s="1" t="s">
        <v>1711</v>
      </c>
      <c r="E1225" s="17">
        <v>39793</v>
      </c>
      <c r="F1225" s="18" t="str">
        <f t="shared" si="19"/>
        <v>PEPE2008_Diciembre</v>
      </c>
      <c r="G1225" s="1" t="s">
        <v>1434</v>
      </c>
      <c r="H1225" s="3">
        <v>3.3353333333333333</v>
      </c>
      <c r="I1225" s="3">
        <v>-77.651166666666668</v>
      </c>
      <c r="J1225" s="12">
        <v>26.1</v>
      </c>
      <c r="K1225" s="12">
        <v>27.3</v>
      </c>
      <c r="L1225" s="4">
        <v>208.04519074415268</v>
      </c>
      <c r="M1225" s="5">
        <v>238</v>
      </c>
      <c r="N1225" s="5">
        <v>340</v>
      </c>
      <c r="O1225" s="5">
        <v>0</v>
      </c>
      <c r="P1225" s="5">
        <v>101.94214346463481</v>
      </c>
    </row>
    <row r="1226" spans="1:16">
      <c r="A1226" s="1" t="s">
        <v>1203</v>
      </c>
      <c r="B1226" s="1" t="s">
        <v>1161</v>
      </c>
      <c r="C1226" s="1">
        <v>2008</v>
      </c>
      <c r="D1226" s="1" t="s">
        <v>1711</v>
      </c>
      <c r="E1226" s="17">
        <v>39793</v>
      </c>
      <c r="F1226" s="18" t="str">
        <f t="shared" si="19"/>
        <v>PEPE2008_Diciembre</v>
      </c>
      <c r="G1226" s="1" t="s">
        <v>1437</v>
      </c>
      <c r="H1226" s="3">
        <v>3.1669999999999998</v>
      </c>
      <c r="I1226" s="3">
        <v>-77.594694444444443</v>
      </c>
      <c r="J1226" s="12">
        <v>25.6</v>
      </c>
      <c r="K1226" s="12">
        <v>27.5</v>
      </c>
      <c r="L1226" s="4">
        <v>205.03004305220844</v>
      </c>
      <c r="M1226" s="5">
        <v>800</v>
      </c>
      <c r="N1226" s="5">
        <v>168</v>
      </c>
      <c r="O1226" s="5">
        <v>583.72053256963738</v>
      </c>
      <c r="P1226" s="5">
        <v>151.92726190168645</v>
      </c>
    </row>
    <row r="1227" spans="1:16">
      <c r="A1227" s="1" t="s">
        <v>1204</v>
      </c>
      <c r="B1227" s="1" t="s">
        <v>1161</v>
      </c>
      <c r="C1227" s="1">
        <v>2008</v>
      </c>
      <c r="D1227" s="1" t="s">
        <v>1711</v>
      </c>
      <c r="E1227" s="17">
        <v>39793</v>
      </c>
      <c r="F1227" s="18" t="str">
        <f t="shared" si="19"/>
        <v>PEPE2008_Diciembre</v>
      </c>
      <c r="G1227" s="1" t="s">
        <v>1439</v>
      </c>
      <c r="H1227" s="3">
        <v>3.1674444444444445</v>
      </c>
      <c r="I1227" s="3">
        <v>-77.750527777777776</v>
      </c>
      <c r="J1227" s="12">
        <v>27.4</v>
      </c>
      <c r="K1227" s="12">
        <v>27</v>
      </c>
      <c r="L1227" s="4">
        <v>99.908707419508346</v>
      </c>
      <c r="M1227" s="5">
        <v>355</v>
      </c>
      <c r="N1227" s="5">
        <v>177</v>
      </c>
      <c r="O1227" s="5">
        <v>0</v>
      </c>
      <c r="P1227" s="5">
        <v>88.668977834813646</v>
      </c>
    </row>
    <row r="1228" spans="1:16">
      <c r="A1228" s="1" t="s">
        <v>1205</v>
      </c>
      <c r="B1228" s="1" t="s">
        <v>1161</v>
      </c>
      <c r="C1228" s="1">
        <v>2008</v>
      </c>
      <c r="D1228" s="1" t="s">
        <v>1711</v>
      </c>
      <c r="E1228" s="17">
        <v>39794</v>
      </c>
      <c r="F1228" s="18" t="str">
        <f t="shared" si="19"/>
        <v>PEPE2008_Diciembre</v>
      </c>
      <c r="G1228" s="1" t="s">
        <v>1562</v>
      </c>
      <c r="H1228" s="3">
        <v>3.0018611111111113</v>
      </c>
      <c r="I1228" s="3">
        <v>-77.740305555555551</v>
      </c>
      <c r="J1228" s="12">
        <v>24.4</v>
      </c>
      <c r="K1228" s="12">
        <v>27.1</v>
      </c>
      <c r="L1228" s="4">
        <v>622.30526263646846</v>
      </c>
      <c r="M1228" s="5">
        <v>731</v>
      </c>
      <c r="N1228" s="5">
        <v>44</v>
      </c>
      <c r="O1228" s="5">
        <v>385.11015453111935</v>
      </c>
      <c r="P1228" s="5">
        <v>29.372808396441307</v>
      </c>
    </row>
    <row r="1229" spans="1:16">
      <c r="A1229" s="1" t="s">
        <v>1206</v>
      </c>
      <c r="B1229" s="1" t="s">
        <v>1161</v>
      </c>
      <c r="C1229" s="1">
        <v>2008</v>
      </c>
      <c r="D1229" s="1" t="s">
        <v>1711</v>
      </c>
      <c r="E1229" s="17">
        <v>39794</v>
      </c>
      <c r="F1229" s="18" t="str">
        <f t="shared" si="19"/>
        <v>PEPE2008_Diciembre</v>
      </c>
      <c r="G1229" s="1" t="s">
        <v>1443</v>
      </c>
      <c r="H1229" s="3">
        <v>3.0007222222222221</v>
      </c>
      <c r="I1229" s="3">
        <v>-77.787999999999997</v>
      </c>
      <c r="J1229" s="12">
        <v>26.8</v>
      </c>
      <c r="K1229" s="12">
        <v>26.9</v>
      </c>
      <c r="L1229" s="4">
        <v>186.39094822928041</v>
      </c>
      <c r="M1229" s="5">
        <v>1575</v>
      </c>
      <c r="N1229" s="5">
        <v>141</v>
      </c>
      <c r="O1229" s="5">
        <v>171.63499816112906</v>
      </c>
      <c r="P1229" s="5">
        <v>20.192352724838713</v>
      </c>
    </row>
    <row r="1230" spans="1:16">
      <c r="A1230" s="1" t="s">
        <v>1207</v>
      </c>
      <c r="B1230" s="1" t="s">
        <v>1161</v>
      </c>
      <c r="C1230" s="1">
        <v>2008</v>
      </c>
      <c r="D1230" s="1" t="s">
        <v>1711</v>
      </c>
      <c r="E1230" s="17">
        <v>39794</v>
      </c>
      <c r="F1230" s="18" t="str">
        <f t="shared" si="19"/>
        <v>PEPE2008_Diciembre</v>
      </c>
      <c r="G1230" s="1" t="s">
        <v>1624</v>
      </c>
      <c r="H1230" s="3">
        <v>2.7899166666666666</v>
      </c>
      <c r="I1230" s="3">
        <v>-77.757499999999993</v>
      </c>
      <c r="J1230" s="12">
        <v>13.5</v>
      </c>
      <c r="K1230" s="12">
        <v>27.5</v>
      </c>
      <c r="L1230" s="4">
        <v>169.02118244447291</v>
      </c>
      <c r="M1230" s="5">
        <v>1</v>
      </c>
      <c r="N1230" s="5">
        <v>8</v>
      </c>
      <c r="O1230" s="5">
        <v>0</v>
      </c>
      <c r="P1230" s="5">
        <v>1.2845609865779939</v>
      </c>
    </row>
    <row r="1231" spans="1:16">
      <c r="A1231" s="1" t="s">
        <v>1208</v>
      </c>
      <c r="B1231" s="1" t="s">
        <v>1161</v>
      </c>
      <c r="C1231" s="1">
        <v>2008</v>
      </c>
      <c r="D1231" s="1" t="s">
        <v>1711</v>
      </c>
      <c r="E1231" s="17">
        <v>39795</v>
      </c>
      <c r="F1231" s="18" t="str">
        <f t="shared" si="19"/>
        <v>PEPE2008_Diciembre</v>
      </c>
      <c r="G1231" s="1" t="s">
        <v>1626</v>
      </c>
      <c r="H1231" s="3">
        <v>2.7044444444444444</v>
      </c>
      <c r="I1231" s="3">
        <v>-78.200777479999999</v>
      </c>
      <c r="J1231" s="12">
        <v>26.9</v>
      </c>
      <c r="K1231" s="12">
        <v>27.1</v>
      </c>
      <c r="L1231" s="4">
        <v>467.82648712309464</v>
      </c>
      <c r="M1231" s="5">
        <v>328</v>
      </c>
      <c r="N1231" s="5">
        <v>61</v>
      </c>
      <c r="O1231" s="5">
        <v>0</v>
      </c>
      <c r="P1231" s="5">
        <v>21.482592288692505</v>
      </c>
    </row>
    <row r="1232" spans="1:16">
      <c r="A1232" s="1" t="s">
        <v>1209</v>
      </c>
      <c r="B1232" s="1" t="s">
        <v>1161</v>
      </c>
      <c r="C1232" s="1">
        <v>2008</v>
      </c>
      <c r="D1232" s="1" t="s">
        <v>1711</v>
      </c>
      <c r="E1232" s="17">
        <v>39794</v>
      </c>
      <c r="F1232" s="18" t="str">
        <f t="shared" si="19"/>
        <v>PEPE2008_Diciembre</v>
      </c>
      <c r="G1232" s="1" t="s">
        <v>1603</v>
      </c>
      <c r="H1232" s="3">
        <v>2.7236388888888889</v>
      </c>
      <c r="I1232" s="3">
        <v>-77.955972222222229</v>
      </c>
      <c r="J1232" s="12">
        <v>25.8</v>
      </c>
      <c r="K1232" s="12">
        <v>27.1</v>
      </c>
      <c r="L1232" s="4">
        <v>348.45007316754635</v>
      </c>
      <c r="M1232" s="5">
        <v>202</v>
      </c>
      <c r="N1232" s="5">
        <v>12</v>
      </c>
      <c r="O1232" s="5">
        <v>127.76502682810033</v>
      </c>
      <c r="P1232" s="5">
        <v>4.6460009755672846</v>
      </c>
    </row>
    <row r="1233" spans="1:16">
      <c r="A1233" s="1" t="s">
        <v>1210</v>
      </c>
      <c r="B1233" s="1" t="s">
        <v>1161</v>
      </c>
      <c r="C1233" s="1">
        <v>2008</v>
      </c>
      <c r="D1233" s="1" t="s">
        <v>1711</v>
      </c>
      <c r="E1233" s="17">
        <v>39794</v>
      </c>
      <c r="F1233" s="18" t="str">
        <f t="shared" si="19"/>
        <v>PEPE2008_Diciembre</v>
      </c>
      <c r="G1233" s="1" t="s">
        <v>1604</v>
      </c>
      <c r="H1233" s="3">
        <v>2.6225000000000001</v>
      </c>
      <c r="I1233" s="3">
        <v>-77.938055555555565</v>
      </c>
      <c r="J1233" s="12">
        <v>14</v>
      </c>
      <c r="K1233" s="12">
        <v>27.1</v>
      </c>
      <c r="L1233" s="4">
        <v>309.4285426640941</v>
      </c>
      <c r="M1233" s="5">
        <v>5</v>
      </c>
      <c r="N1233" s="5">
        <v>3</v>
      </c>
      <c r="O1233" s="5">
        <v>0</v>
      </c>
      <c r="P1233" s="5">
        <v>2.5991997583783899</v>
      </c>
    </row>
    <row r="1234" spans="1:16">
      <c r="A1234" s="1" t="s">
        <v>1211</v>
      </c>
      <c r="B1234" s="1" t="s">
        <v>1161</v>
      </c>
      <c r="C1234" s="1">
        <v>2008</v>
      </c>
      <c r="D1234" s="1" t="s">
        <v>1711</v>
      </c>
      <c r="E1234" s="17">
        <v>39794</v>
      </c>
      <c r="F1234" s="18" t="str">
        <f t="shared" si="19"/>
        <v>PEPE2008_Diciembre</v>
      </c>
      <c r="G1234" s="1" t="s">
        <v>1635</v>
      </c>
      <c r="H1234" s="3">
        <v>2.7256388888888892</v>
      </c>
      <c r="I1234" s="3">
        <v>-77.816666666666663</v>
      </c>
      <c r="J1234" s="12">
        <v>19.600000000000001</v>
      </c>
      <c r="K1234" s="12">
        <v>27.4</v>
      </c>
      <c r="L1234" s="4">
        <v>658.47457435671663</v>
      </c>
      <c r="M1234" s="5">
        <v>23</v>
      </c>
      <c r="N1234" s="5">
        <v>3</v>
      </c>
      <c r="O1234" s="5">
        <v>0</v>
      </c>
      <c r="P1234" s="5">
        <v>2.8365058587673952</v>
      </c>
    </row>
    <row r="1235" spans="1:16">
      <c r="A1235" s="1" t="s">
        <v>1212</v>
      </c>
      <c r="B1235" s="1" t="s">
        <v>1161</v>
      </c>
      <c r="C1235" s="1">
        <v>2008</v>
      </c>
      <c r="D1235" s="1" t="s">
        <v>1711</v>
      </c>
      <c r="E1235" s="17">
        <v>39796</v>
      </c>
      <c r="F1235" s="18" t="str">
        <f t="shared" si="19"/>
        <v>PEPE2008_Diciembre</v>
      </c>
      <c r="G1235" s="1" t="s">
        <v>1692</v>
      </c>
      <c r="H1235" s="3">
        <v>2.625861111111111</v>
      </c>
      <c r="I1235" s="3">
        <v>-78.313444444444443</v>
      </c>
      <c r="J1235" s="12">
        <v>21.5</v>
      </c>
      <c r="K1235" s="12">
        <v>26.6</v>
      </c>
      <c r="L1235" s="4">
        <v>287.83464843545028</v>
      </c>
      <c r="M1235" s="5">
        <v>7</v>
      </c>
      <c r="N1235" s="5">
        <v>4</v>
      </c>
      <c r="O1235" s="5">
        <v>1.6982244257691568</v>
      </c>
      <c r="P1235" s="5">
        <v>1.1321496171794379</v>
      </c>
    </row>
    <row r="1236" spans="1:16">
      <c r="A1236" s="1" t="s">
        <v>1213</v>
      </c>
      <c r="B1236" s="1" t="s">
        <v>1161</v>
      </c>
      <c r="C1236" s="1">
        <v>2008</v>
      </c>
      <c r="D1236" s="1" t="s">
        <v>1711</v>
      </c>
      <c r="E1236" s="17">
        <v>39795</v>
      </c>
      <c r="F1236" s="18" t="str">
        <f t="shared" si="19"/>
        <v>PEPE2008_Diciembre</v>
      </c>
      <c r="G1236" s="1" t="s">
        <v>1693</v>
      </c>
      <c r="H1236" s="3">
        <v>2.6580277777777779</v>
      </c>
      <c r="I1236" s="3">
        <v>-78.124055555555543</v>
      </c>
      <c r="J1236" s="12">
        <v>26.8</v>
      </c>
      <c r="K1236" s="12">
        <v>27.1</v>
      </c>
      <c r="L1236" s="4">
        <v>414.11117367295668</v>
      </c>
      <c r="M1236" s="5">
        <v>62</v>
      </c>
      <c r="N1236" s="5">
        <v>65</v>
      </c>
      <c r="O1236" s="5">
        <v>41.307589573877422</v>
      </c>
      <c r="P1236" s="5">
        <v>8.8516263372594484</v>
      </c>
    </row>
    <row r="1237" spans="1:16">
      <c r="A1237" s="1" t="s">
        <v>1214</v>
      </c>
      <c r="B1237" s="1" t="s">
        <v>1161</v>
      </c>
      <c r="C1237" s="1">
        <v>2008</v>
      </c>
      <c r="D1237" s="1" t="s">
        <v>1711</v>
      </c>
      <c r="E1237" s="17">
        <v>39795</v>
      </c>
      <c r="F1237" s="18" t="str">
        <f t="shared" si="19"/>
        <v>PEPE2008_Diciembre</v>
      </c>
      <c r="G1237" s="1" t="s">
        <v>1694</v>
      </c>
      <c r="H1237" s="3">
        <v>2.6244999999999998</v>
      </c>
      <c r="I1237" s="3">
        <v>-78.065861111111104</v>
      </c>
      <c r="J1237" s="12">
        <v>21.4</v>
      </c>
      <c r="K1237" s="12">
        <v>27.6</v>
      </c>
      <c r="L1237" s="4">
        <v>220.87545621549387</v>
      </c>
      <c r="M1237" s="5">
        <v>9</v>
      </c>
      <c r="N1237" s="5">
        <v>3</v>
      </c>
      <c r="O1237" s="5">
        <v>4.174546122472834</v>
      </c>
      <c r="P1237" s="5">
        <v>1.0436365306182085</v>
      </c>
    </row>
    <row r="1238" spans="1:16">
      <c r="A1238" s="1" t="s">
        <v>1215</v>
      </c>
      <c r="B1238" s="1" t="s">
        <v>1161</v>
      </c>
      <c r="C1238" s="1">
        <v>2008</v>
      </c>
      <c r="D1238" s="1" t="s">
        <v>1711</v>
      </c>
      <c r="E1238" s="17">
        <v>39796</v>
      </c>
      <c r="F1238" s="18" t="str">
        <f t="shared" si="19"/>
        <v>PEPE2008_Diciembre</v>
      </c>
      <c r="G1238" s="1" t="s">
        <v>1565</v>
      </c>
      <c r="H1238" s="3">
        <v>2.6892222222222224</v>
      </c>
      <c r="I1238" s="3">
        <v>-78.373083333333327</v>
      </c>
      <c r="J1238" s="12">
        <v>24.9</v>
      </c>
      <c r="K1238" s="12">
        <v>26.6</v>
      </c>
      <c r="L1238" s="4">
        <v>142.32467777265978</v>
      </c>
      <c r="M1238" s="5">
        <v>303</v>
      </c>
      <c r="N1238" s="5">
        <v>3</v>
      </c>
      <c r="O1238" s="5">
        <v>0</v>
      </c>
      <c r="P1238" s="5">
        <v>1.2334805406963849</v>
      </c>
    </row>
    <row r="1239" spans="1:16">
      <c r="A1239" s="1" t="s">
        <v>1216</v>
      </c>
      <c r="B1239" s="1" t="s">
        <v>1161</v>
      </c>
      <c r="C1239" s="1">
        <v>2008</v>
      </c>
      <c r="D1239" s="1" t="s">
        <v>1711</v>
      </c>
      <c r="E1239" s="17">
        <v>39796</v>
      </c>
      <c r="F1239" s="18" t="str">
        <f t="shared" si="19"/>
        <v>PEPE2008_Diciembre</v>
      </c>
      <c r="G1239" s="1" t="s">
        <v>1522</v>
      </c>
      <c r="H1239" s="3">
        <v>2.676333333333333</v>
      </c>
      <c r="I1239" s="3">
        <v>-78.447861111111109</v>
      </c>
      <c r="J1239" s="12">
        <v>22.2</v>
      </c>
      <c r="K1239" s="12">
        <v>26.7</v>
      </c>
      <c r="L1239" s="4">
        <v>180.67781571650553</v>
      </c>
      <c r="M1239" s="5">
        <v>3702</v>
      </c>
      <c r="N1239" s="5">
        <v>229</v>
      </c>
      <c r="O1239" s="5">
        <v>671.63966695682336</v>
      </c>
      <c r="P1239" s="5">
        <v>163.81455291629837</v>
      </c>
    </row>
    <row r="1240" spans="1:16">
      <c r="A1240" s="1" t="s">
        <v>1217</v>
      </c>
      <c r="B1240" s="1" t="s">
        <v>1161</v>
      </c>
      <c r="C1240" s="1">
        <v>2008</v>
      </c>
      <c r="D1240" s="1" t="s">
        <v>1711</v>
      </c>
      <c r="E1240" s="17">
        <v>39796</v>
      </c>
      <c r="F1240" s="18" t="str">
        <f t="shared" si="19"/>
        <v>PEPE2008_Diciembre</v>
      </c>
      <c r="G1240" s="1" t="s">
        <v>1695</v>
      </c>
      <c r="H1240" s="3">
        <v>2.5572499999999998</v>
      </c>
      <c r="I1240" s="3">
        <v>-78.470583333333337</v>
      </c>
      <c r="J1240" s="12">
        <v>25.2</v>
      </c>
      <c r="K1240" s="12">
        <v>27.3</v>
      </c>
      <c r="L1240" s="4">
        <v>490.57903669189011</v>
      </c>
      <c r="M1240" s="5">
        <v>184</v>
      </c>
      <c r="N1240" s="5">
        <v>112</v>
      </c>
      <c r="O1240" s="5">
        <v>0</v>
      </c>
      <c r="P1240" s="5">
        <v>56.017993752255208</v>
      </c>
    </row>
    <row r="1241" spans="1:16">
      <c r="A1241" s="1" t="s">
        <v>1218</v>
      </c>
      <c r="B1241" s="1" t="s">
        <v>1161</v>
      </c>
      <c r="C1241" s="1">
        <v>2008</v>
      </c>
      <c r="D1241" s="1" t="s">
        <v>1711</v>
      </c>
      <c r="E1241" s="17">
        <v>39796</v>
      </c>
      <c r="F1241" s="18" t="str">
        <f t="shared" si="19"/>
        <v>PEPE2008_Diciembre</v>
      </c>
      <c r="G1241" s="1" t="s">
        <v>1456</v>
      </c>
      <c r="H1241" s="3">
        <v>2.5097222222222224</v>
      </c>
      <c r="I1241" s="3">
        <v>-78.552416666666659</v>
      </c>
      <c r="J1241" s="12">
        <v>27.4</v>
      </c>
      <c r="K1241" s="12">
        <v>27</v>
      </c>
      <c r="L1241" s="4">
        <v>131.90744028533689</v>
      </c>
      <c r="M1241" s="5">
        <v>44</v>
      </c>
      <c r="N1241" s="5">
        <v>33</v>
      </c>
      <c r="O1241" s="5">
        <v>7.2549092156935293</v>
      </c>
      <c r="P1241" s="5">
        <v>14.509818431387059</v>
      </c>
    </row>
    <row r="1242" spans="1:16">
      <c r="A1242" s="1" t="s">
        <v>1219</v>
      </c>
      <c r="B1242" s="1" t="s">
        <v>1161</v>
      </c>
      <c r="C1242" s="1">
        <v>2008</v>
      </c>
      <c r="D1242" s="1" t="s">
        <v>1711</v>
      </c>
      <c r="E1242" s="17">
        <v>39796</v>
      </c>
      <c r="F1242" s="18" t="str">
        <f t="shared" si="19"/>
        <v>PEPE2008_Diciembre</v>
      </c>
      <c r="G1242" s="1" t="s">
        <v>1462</v>
      </c>
      <c r="H1242" s="3">
        <v>2.3342777777777779</v>
      </c>
      <c r="I1242" s="3">
        <v>-78.738694444444448</v>
      </c>
      <c r="J1242" s="12">
        <v>27.2</v>
      </c>
      <c r="K1242" s="12">
        <v>26.7</v>
      </c>
      <c r="L1242" s="4">
        <v>271.01672357475826</v>
      </c>
      <c r="M1242" s="5">
        <v>146</v>
      </c>
      <c r="N1242" s="5">
        <v>438</v>
      </c>
      <c r="O1242" s="5">
        <v>97.385342671196469</v>
      </c>
      <c r="P1242" s="5">
        <v>48.692671335598234</v>
      </c>
    </row>
    <row r="1243" spans="1:16">
      <c r="A1243" s="1" t="s">
        <v>1220</v>
      </c>
      <c r="B1243" s="1" t="s">
        <v>1161</v>
      </c>
      <c r="C1243" s="1">
        <v>2008</v>
      </c>
      <c r="D1243" s="1" t="s">
        <v>1711</v>
      </c>
      <c r="E1243" s="17">
        <v>39796</v>
      </c>
      <c r="F1243" s="18" t="str">
        <f t="shared" si="19"/>
        <v>PEPE2008_Diciembre</v>
      </c>
      <c r="G1243" s="1" t="s">
        <v>1466</v>
      </c>
      <c r="H1243" s="3">
        <v>2.1637777777777778</v>
      </c>
      <c r="I1243" s="3">
        <v>-78.732777777777784</v>
      </c>
      <c r="J1243" s="12">
        <v>27.9</v>
      </c>
      <c r="K1243" s="12">
        <v>26.7</v>
      </c>
      <c r="L1243" s="4">
        <v>253.07822845442544</v>
      </c>
      <c r="M1243" s="5">
        <v>182</v>
      </c>
      <c r="N1243" s="5">
        <v>0</v>
      </c>
      <c r="O1243" s="5">
        <v>0</v>
      </c>
      <c r="P1243" s="13">
        <v>42</v>
      </c>
    </row>
    <row r="1244" spans="1:16">
      <c r="A1244" s="1" t="s">
        <v>1221</v>
      </c>
      <c r="B1244" s="1" t="s">
        <v>1161</v>
      </c>
      <c r="C1244" s="1">
        <v>2008</v>
      </c>
      <c r="D1244" s="1" t="s">
        <v>1711</v>
      </c>
      <c r="E1244" s="17">
        <v>39797</v>
      </c>
      <c r="F1244" s="18" t="str">
        <f t="shared" si="19"/>
        <v>PEPE2008_Diciembre</v>
      </c>
      <c r="G1244" s="1" t="s">
        <v>1606</v>
      </c>
      <c r="H1244" s="3">
        <v>1.8666700000000001</v>
      </c>
      <c r="I1244" s="3">
        <v>-78.583330000000004</v>
      </c>
      <c r="J1244" s="12">
        <v>26.7</v>
      </c>
      <c r="K1244" s="12">
        <v>27.1</v>
      </c>
      <c r="L1244" s="4">
        <v>1740.1073764578575</v>
      </c>
      <c r="M1244" s="5">
        <v>0</v>
      </c>
      <c r="N1244" s="5">
        <v>88</v>
      </c>
      <c r="O1244" s="1">
        <v>0</v>
      </c>
      <c r="P1244" s="5">
        <v>24.117888237705905</v>
      </c>
    </row>
    <row r="1245" spans="1:16">
      <c r="A1245" s="1" t="s">
        <v>1222</v>
      </c>
      <c r="B1245" s="1" t="s">
        <v>1161</v>
      </c>
      <c r="C1245" s="1">
        <v>2008</v>
      </c>
      <c r="D1245" s="1" t="s">
        <v>1711</v>
      </c>
      <c r="E1245" s="17">
        <v>39797</v>
      </c>
      <c r="F1245" s="18" t="str">
        <f t="shared" si="19"/>
        <v>PEPE2008_Diciembre</v>
      </c>
      <c r="G1245" s="1" t="s">
        <v>1627</v>
      </c>
      <c r="H1245" s="3">
        <v>1.85</v>
      </c>
      <c r="I1245" s="3">
        <v>-78.566670000000002</v>
      </c>
      <c r="J1245" s="12">
        <v>25.9</v>
      </c>
      <c r="K1245" s="12">
        <v>27.1</v>
      </c>
      <c r="L1245" s="4">
        <v>1177.2876258476324</v>
      </c>
      <c r="M1245" s="5">
        <v>0</v>
      </c>
      <c r="N1245" s="5">
        <v>23</v>
      </c>
      <c r="O1245" s="1">
        <v>0</v>
      </c>
      <c r="P1245" s="5">
        <v>3.2179195106501948</v>
      </c>
    </row>
    <row r="1246" spans="1:16">
      <c r="A1246" s="1" t="s">
        <v>1223</v>
      </c>
      <c r="B1246" s="1" t="s">
        <v>1161</v>
      </c>
      <c r="C1246" s="1">
        <v>2008</v>
      </c>
      <c r="D1246" s="1" t="s">
        <v>1711</v>
      </c>
      <c r="E1246" s="17">
        <v>39797</v>
      </c>
      <c r="F1246" s="18" t="str">
        <f t="shared" si="19"/>
        <v>PEPE2008_Diciembre</v>
      </c>
      <c r="G1246" s="1" t="s">
        <v>1628</v>
      </c>
      <c r="H1246" s="3">
        <v>1.804888888888889</v>
      </c>
      <c r="I1246" s="3">
        <v>-78.600611111111107</v>
      </c>
      <c r="J1246" s="12">
        <v>27.1</v>
      </c>
      <c r="K1246" s="12">
        <v>27.2</v>
      </c>
      <c r="L1246" s="4">
        <v>1128.1557392824866</v>
      </c>
      <c r="M1246" s="5">
        <v>3</v>
      </c>
      <c r="N1246" s="5">
        <v>0</v>
      </c>
      <c r="O1246" s="5">
        <v>0</v>
      </c>
      <c r="P1246" s="13">
        <v>4</v>
      </c>
    </row>
    <row r="1247" spans="1:16">
      <c r="A1247" s="1" t="s">
        <v>1224</v>
      </c>
      <c r="B1247" s="1" t="s">
        <v>1161</v>
      </c>
      <c r="C1247" s="1">
        <v>2008</v>
      </c>
      <c r="D1247" s="1" t="s">
        <v>1711</v>
      </c>
      <c r="E1247" s="17">
        <v>39797</v>
      </c>
      <c r="F1247" s="18" t="str">
        <f t="shared" si="19"/>
        <v>PEPE2008_Diciembre</v>
      </c>
      <c r="G1247" s="1" t="s">
        <v>1607</v>
      </c>
      <c r="H1247" s="3">
        <v>1.8497500000000002</v>
      </c>
      <c r="I1247" s="3">
        <v>-78.708833333333331</v>
      </c>
      <c r="J1247" s="12">
        <v>29.5</v>
      </c>
      <c r="K1247" s="12">
        <v>26.4</v>
      </c>
      <c r="L1247" s="4">
        <v>436.23413415363501</v>
      </c>
      <c r="M1247" s="5">
        <v>691</v>
      </c>
      <c r="N1247" s="5">
        <v>70</v>
      </c>
      <c r="O1247" s="5">
        <v>4.1224125677518506</v>
      </c>
      <c r="P1247" s="5">
        <v>39.849988154934557</v>
      </c>
    </row>
    <row r="1248" spans="1:16">
      <c r="A1248" s="1" t="s">
        <v>1225</v>
      </c>
      <c r="B1248" s="1" t="s">
        <v>1161</v>
      </c>
      <c r="C1248" s="1">
        <v>2008</v>
      </c>
      <c r="D1248" s="1" t="s">
        <v>1711</v>
      </c>
      <c r="E1248" s="17">
        <v>39797</v>
      </c>
      <c r="F1248" s="18" t="str">
        <f t="shared" si="19"/>
        <v>PEPE2008_Diciembre</v>
      </c>
      <c r="G1248" s="1" t="s">
        <v>1471</v>
      </c>
      <c r="H1248" s="3">
        <v>2</v>
      </c>
      <c r="I1248" s="3">
        <v>-78.683333000000005</v>
      </c>
      <c r="J1248" s="12">
        <v>28.6</v>
      </c>
      <c r="K1248" s="12">
        <v>26.4</v>
      </c>
      <c r="L1248" s="4">
        <v>2006.6770171067208</v>
      </c>
      <c r="M1248" s="5">
        <v>8788</v>
      </c>
      <c r="N1248" s="5">
        <v>838</v>
      </c>
      <c r="O1248" s="5">
        <v>4245.2757304655515</v>
      </c>
      <c r="P1248" s="5">
        <v>162.23983683307841</v>
      </c>
    </row>
    <row r="1249" spans="1:16">
      <c r="A1249" s="1" t="s">
        <v>1226</v>
      </c>
      <c r="B1249" s="1" t="s">
        <v>1161</v>
      </c>
      <c r="C1249" s="1">
        <v>2008</v>
      </c>
      <c r="D1249" s="1" t="s">
        <v>1711</v>
      </c>
      <c r="E1249" s="17">
        <v>39797</v>
      </c>
      <c r="F1249" s="18" t="str">
        <f t="shared" si="19"/>
        <v>PEPE2008_Diciembre</v>
      </c>
      <c r="G1249" s="1" t="s">
        <v>1473</v>
      </c>
      <c r="H1249" s="3">
        <v>2.0009166666666665</v>
      </c>
      <c r="I1249" s="3">
        <v>-78.836416666666665</v>
      </c>
      <c r="J1249" s="12">
        <v>27.1</v>
      </c>
      <c r="K1249" s="12">
        <v>26.1</v>
      </c>
      <c r="L1249" s="4">
        <v>252.98771406656618</v>
      </c>
      <c r="M1249" s="5">
        <v>332</v>
      </c>
      <c r="N1249" s="5">
        <v>485</v>
      </c>
      <c r="O1249" s="5">
        <v>0</v>
      </c>
      <c r="P1249" s="5">
        <v>51.002323155819738</v>
      </c>
    </row>
    <row r="1250" spans="1:16">
      <c r="A1250" s="1" t="s">
        <v>1227</v>
      </c>
      <c r="B1250" s="1" t="s">
        <v>1161</v>
      </c>
      <c r="C1250" s="1">
        <v>2008</v>
      </c>
      <c r="D1250" s="1" t="s">
        <v>1711</v>
      </c>
      <c r="E1250" s="17">
        <v>39798</v>
      </c>
      <c r="F1250" s="18" t="str">
        <f t="shared" si="19"/>
        <v>PEPE2008_Diciembre</v>
      </c>
      <c r="G1250" s="1" t="s">
        <v>1477</v>
      </c>
      <c r="H1250" s="3">
        <v>1.8666700000000001</v>
      </c>
      <c r="I1250" s="3">
        <v>-78.766670000000005</v>
      </c>
      <c r="J1250" s="12">
        <v>29.5</v>
      </c>
      <c r="K1250" s="12">
        <v>26</v>
      </c>
      <c r="L1250" s="4">
        <v>174.43986400249548</v>
      </c>
      <c r="M1250" s="5">
        <v>20</v>
      </c>
      <c r="N1250" s="5">
        <v>6</v>
      </c>
      <c r="O1250" s="5">
        <v>0</v>
      </c>
      <c r="P1250" s="5">
        <v>3.2794694432469145</v>
      </c>
    </row>
    <row r="1251" spans="1:16">
      <c r="A1251" s="1" t="s">
        <v>1228</v>
      </c>
      <c r="B1251" s="1" t="s">
        <v>1161</v>
      </c>
      <c r="C1251" s="1">
        <v>2008</v>
      </c>
      <c r="D1251" s="1" t="s">
        <v>1711</v>
      </c>
      <c r="E1251" s="17">
        <v>39798</v>
      </c>
      <c r="F1251" s="18" t="str">
        <f t="shared" si="19"/>
        <v>PEPE2008_Diciembre</v>
      </c>
      <c r="G1251" s="1" t="s">
        <v>1479</v>
      </c>
      <c r="H1251" s="3">
        <v>1.822111111111111</v>
      </c>
      <c r="I1251" s="3">
        <v>-78.904388888888889</v>
      </c>
      <c r="J1251" s="12">
        <v>28.4</v>
      </c>
      <c r="K1251" s="12">
        <v>25.9</v>
      </c>
      <c r="L1251" s="4">
        <v>242.76401493955183</v>
      </c>
      <c r="M1251" s="5">
        <v>6031</v>
      </c>
      <c r="N1251" s="5">
        <v>331</v>
      </c>
      <c r="O1251" s="5">
        <v>0</v>
      </c>
      <c r="P1251" s="5">
        <v>132.54915215699529</v>
      </c>
    </row>
    <row r="1252" spans="1:16">
      <c r="A1252" s="1" t="s">
        <v>1229</v>
      </c>
      <c r="B1252" s="1" t="s">
        <v>1161</v>
      </c>
      <c r="C1252" s="1">
        <v>2008</v>
      </c>
      <c r="D1252" s="1" t="s">
        <v>1711</v>
      </c>
      <c r="E1252" s="17">
        <v>39798</v>
      </c>
      <c r="F1252" s="18" t="str">
        <f t="shared" si="19"/>
        <v>PEPE2008_Diciembre</v>
      </c>
      <c r="G1252" s="1" t="s">
        <v>1576</v>
      </c>
      <c r="H1252" s="3">
        <v>1.66738842</v>
      </c>
      <c r="I1252" s="3">
        <v>-79.017444220000002</v>
      </c>
      <c r="J1252" s="12">
        <v>5.5</v>
      </c>
      <c r="K1252" s="12">
        <v>24.3</v>
      </c>
      <c r="L1252" s="4">
        <v>197.97191394629698</v>
      </c>
      <c r="M1252" s="5">
        <v>2286</v>
      </c>
      <c r="N1252" s="5">
        <v>682</v>
      </c>
      <c r="O1252" s="5">
        <v>543.1161487202711</v>
      </c>
      <c r="P1252" s="5">
        <v>214.72033786615367</v>
      </c>
    </row>
    <row r="1253" spans="1:16">
      <c r="A1253" s="1" t="s">
        <v>1230</v>
      </c>
      <c r="B1253" s="1" t="s">
        <v>1161</v>
      </c>
      <c r="C1253" s="1">
        <v>2008</v>
      </c>
      <c r="D1253" s="1" t="s">
        <v>1711</v>
      </c>
      <c r="E1253" s="17">
        <v>39798</v>
      </c>
      <c r="F1253" s="18" t="str">
        <f t="shared" si="19"/>
        <v>PEPE2008_Diciembre</v>
      </c>
      <c r="G1253" s="1" t="s">
        <v>1630</v>
      </c>
      <c r="H1253" s="3">
        <v>1.5148055555555555</v>
      </c>
      <c r="I1253" s="3">
        <v>-78.942666666666668</v>
      </c>
      <c r="J1253" s="12">
        <v>25.8</v>
      </c>
      <c r="K1253" s="12">
        <v>26.7</v>
      </c>
      <c r="L1253" s="4">
        <v>2512.458314451243</v>
      </c>
      <c r="M1253" s="5">
        <v>2032</v>
      </c>
      <c r="N1253" s="5">
        <v>4</v>
      </c>
      <c r="O1253" s="5">
        <v>12.697577789188202</v>
      </c>
      <c r="P1253" s="5">
        <v>4.2325259297294009</v>
      </c>
    </row>
    <row r="1254" spans="1:16">
      <c r="A1254" s="1" t="s">
        <v>1231</v>
      </c>
      <c r="B1254" s="1" t="s">
        <v>1161</v>
      </c>
      <c r="C1254" s="1">
        <v>2008</v>
      </c>
      <c r="D1254" s="1" t="s">
        <v>1711</v>
      </c>
      <c r="E1254" s="17">
        <v>39798</v>
      </c>
      <c r="F1254" s="18" t="str">
        <f t="shared" si="19"/>
        <v>PEPE2008_Diciembre</v>
      </c>
      <c r="G1254" s="1" t="s">
        <v>1487</v>
      </c>
      <c r="H1254" s="3">
        <v>1.5005833333333334</v>
      </c>
      <c r="I1254" s="3">
        <v>-78.965611111111116</v>
      </c>
      <c r="J1254" s="12">
        <v>26.6</v>
      </c>
      <c r="K1254" s="12">
        <v>26.6</v>
      </c>
      <c r="L1254" s="4">
        <v>1341.8632898945348</v>
      </c>
      <c r="M1254" s="5">
        <v>89</v>
      </c>
      <c r="N1254" s="5">
        <v>171</v>
      </c>
      <c r="O1254" s="5">
        <v>29.520992377679764</v>
      </c>
      <c r="P1254" s="5">
        <v>76.754580181967384</v>
      </c>
    </row>
    <row r="1255" spans="1:16">
      <c r="A1255" s="1" t="s">
        <v>1232</v>
      </c>
      <c r="B1255" s="1" t="s">
        <v>1161</v>
      </c>
      <c r="C1255" s="1">
        <v>2008</v>
      </c>
      <c r="D1255" s="1" t="s">
        <v>1711</v>
      </c>
      <c r="E1255" s="17">
        <v>39798</v>
      </c>
      <c r="F1255" s="18" t="str">
        <f t="shared" si="19"/>
        <v>PEPE2008_Diciembre</v>
      </c>
      <c r="G1255" s="1" t="s">
        <v>1488</v>
      </c>
      <c r="H1255" s="3">
        <v>1.5007222222222223</v>
      </c>
      <c r="I1255" s="3">
        <v>-79.049578769999997</v>
      </c>
      <c r="J1255" s="12">
        <v>28.5</v>
      </c>
      <c r="K1255" s="12">
        <v>26.6</v>
      </c>
      <c r="L1255" s="4">
        <v>297.98995198741193</v>
      </c>
      <c r="M1255" s="5">
        <v>1635</v>
      </c>
      <c r="N1255" s="5">
        <v>344</v>
      </c>
      <c r="O1255" s="5">
        <v>315.49686166667237</v>
      </c>
      <c r="P1255" s="5">
        <v>86.044598636365194</v>
      </c>
    </row>
    <row r="1256" spans="1:16">
      <c r="A1256" s="1" t="s">
        <v>1233</v>
      </c>
      <c r="B1256" s="1" t="s">
        <v>1161</v>
      </c>
      <c r="C1256" s="1">
        <v>2008</v>
      </c>
      <c r="D1256" s="1" t="s">
        <v>1711</v>
      </c>
      <c r="E1256" s="17">
        <v>39795</v>
      </c>
      <c r="F1256" s="18" t="str">
        <f t="shared" si="19"/>
        <v>PEPE2008_Diciembre</v>
      </c>
      <c r="G1256" s="1" t="s">
        <v>1613</v>
      </c>
      <c r="H1256" s="3">
        <v>2.9524444444444446</v>
      </c>
      <c r="I1256" s="3">
        <v>-78.216027777777782</v>
      </c>
      <c r="J1256" s="12">
        <v>27.8</v>
      </c>
      <c r="K1256" s="12">
        <v>26.6</v>
      </c>
      <c r="L1256" s="4">
        <v>31.396078496676392</v>
      </c>
      <c r="M1256" s="5">
        <v>4193</v>
      </c>
      <c r="N1256" s="5">
        <v>160</v>
      </c>
      <c r="O1256" s="5">
        <v>133.11937282590793</v>
      </c>
      <c r="P1256" s="5">
        <v>133.11937282590793</v>
      </c>
    </row>
    <row r="1257" spans="1:16">
      <c r="A1257" s="1" t="s">
        <v>1234</v>
      </c>
      <c r="B1257" s="1" t="s">
        <v>1161</v>
      </c>
      <c r="C1257" s="1">
        <v>2008</v>
      </c>
      <c r="D1257" s="1" t="s">
        <v>1711</v>
      </c>
      <c r="E1257" s="17">
        <v>39795</v>
      </c>
      <c r="F1257" s="18" t="str">
        <f t="shared" si="19"/>
        <v>PEPE2008_Diciembre</v>
      </c>
      <c r="G1257" s="1" t="s">
        <v>1611</v>
      </c>
      <c r="H1257" s="3">
        <v>2.9854444444444446</v>
      </c>
      <c r="I1257" s="3">
        <v>-78.16758333333334</v>
      </c>
      <c r="J1257" s="12">
        <v>27.4</v>
      </c>
      <c r="K1257" s="12">
        <v>26.6</v>
      </c>
      <c r="L1257" s="4">
        <v>765.22369009343515</v>
      </c>
      <c r="M1257" s="5">
        <v>0</v>
      </c>
      <c r="N1257" s="5">
        <v>464</v>
      </c>
      <c r="O1257" s="1">
        <v>0</v>
      </c>
      <c r="P1257" s="5">
        <v>206.22778448018079</v>
      </c>
    </row>
    <row r="1258" spans="1:16">
      <c r="A1258" s="1" t="s">
        <v>1235</v>
      </c>
      <c r="B1258" s="1" t="s">
        <v>1161</v>
      </c>
      <c r="C1258" s="1">
        <v>2008</v>
      </c>
      <c r="D1258" s="1" t="s">
        <v>1711</v>
      </c>
      <c r="E1258" s="17">
        <v>39795</v>
      </c>
      <c r="F1258" s="18" t="str">
        <f t="shared" si="19"/>
        <v>PEPE2008_Diciembre</v>
      </c>
      <c r="G1258" s="1" t="s">
        <v>1612</v>
      </c>
      <c r="H1258" s="3">
        <v>3.0025555555555554</v>
      </c>
      <c r="I1258" s="3">
        <v>-78.183361111111111</v>
      </c>
      <c r="J1258" s="12">
        <v>27.7</v>
      </c>
      <c r="K1258" s="12">
        <v>26.5</v>
      </c>
      <c r="L1258" s="4">
        <v>344.2110211825397</v>
      </c>
      <c r="M1258" s="5">
        <v>367</v>
      </c>
      <c r="N1258" s="5">
        <v>587</v>
      </c>
      <c r="O1258" s="5">
        <v>0</v>
      </c>
      <c r="P1258" s="5">
        <v>91.789605648677252</v>
      </c>
    </row>
    <row r="1259" spans="1:16">
      <c r="A1259" s="1" t="s">
        <v>1236</v>
      </c>
      <c r="B1259" s="1" t="s">
        <v>1161</v>
      </c>
      <c r="C1259" s="1">
        <v>2008</v>
      </c>
      <c r="D1259" s="1" t="s">
        <v>1711</v>
      </c>
      <c r="E1259" s="17">
        <v>39795</v>
      </c>
      <c r="F1259" s="18" t="str">
        <f t="shared" si="19"/>
        <v>PEPE2008_Diciembre</v>
      </c>
      <c r="G1259" s="1" t="s">
        <v>1696</v>
      </c>
      <c r="H1259" s="3">
        <v>2.9556111111111112</v>
      </c>
      <c r="I1259" s="3">
        <v>-78.17036111111112</v>
      </c>
      <c r="J1259" s="12">
        <v>27.4</v>
      </c>
      <c r="K1259" s="12">
        <v>26.6</v>
      </c>
      <c r="L1259" s="4">
        <v>245.28951834594505</v>
      </c>
      <c r="M1259" s="5">
        <v>61</v>
      </c>
      <c r="N1259" s="5">
        <v>457</v>
      </c>
      <c r="O1259" s="5">
        <v>0</v>
      </c>
      <c r="P1259" s="5">
        <v>213.34055858138569</v>
      </c>
    </row>
    <row r="1260" spans="1:16">
      <c r="A1260" s="1" t="s">
        <v>1237</v>
      </c>
      <c r="B1260" s="1" t="s">
        <v>1161</v>
      </c>
      <c r="C1260" s="1">
        <v>2008</v>
      </c>
      <c r="D1260" s="1" t="s">
        <v>1711</v>
      </c>
      <c r="E1260" s="17">
        <v>39794</v>
      </c>
      <c r="F1260" s="18" t="str">
        <f t="shared" si="19"/>
        <v>PEPE2008_Diciembre</v>
      </c>
      <c r="G1260" s="1" t="s">
        <v>1697</v>
      </c>
      <c r="H1260" s="3">
        <v>2.9552777777777779</v>
      </c>
      <c r="I1260" s="3">
        <v>-78.170944444444444</v>
      </c>
      <c r="J1260" s="12">
        <v>27.6</v>
      </c>
      <c r="K1260" s="12">
        <v>26.7</v>
      </c>
      <c r="L1260" s="4">
        <v>243.39050272004096</v>
      </c>
      <c r="M1260" s="5">
        <v>55</v>
      </c>
      <c r="N1260" s="5">
        <v>621</v>
      </c>
      <c r="O1260" s="5">
        <v>0</v>
      </c>
      <c r="P1260" s="5">
        <v>219.05145244803686</v>
      </c>
    </row>
    <row r="1261" spans="1:16">
      <c r="A1261" s="1" t="s">
        <v>1238</v>
      </c>
      <c r="B1261" s="1" t="s">
        <v>1161</v>
      </c>
      <c r="C1261" s="1">
        <v>2008</v>
      </c>
      <c r="D1261" s="1" t="s">
        <v>1711</v>
      </c>
      <c r="E1261" s="17">
        <v>39795</v>
      </c>
      <c r="F1261" s="18" t="str">
        <f t="shared" si="19"/>
        <v>PEPE2008_Diciembre</v>
      </c>
      <c r="G1261" s="1" t="s">
        <v>1614</v>
      </c>
      <c r="H1261" s="3">
        <v>2.9426944444444447</v>
      </c>
      <c r="I1261" s="3">
        <v>-78.224944444444446</v>
      </c>
      <c r="J1261" s="12">
        <v>27.2</v>
      </c>
      <c r="K1261" s="12">
        <v>25</v>
      </c>
      <c r="L1261" s="4">
        <v>183.72822039743355</v>
      </c>
      <c r="M1261" s="5">
        <v>1531</v>
      </c>
      <c r="N1261" s="5">
        <v>244</v>
      </c>
      <c r="O1261" s="5">
        <v>0</v>
      </c>
      <c r="P1261" s="5">
        <v>104.35762918574224</v>
      </c>
    </row>
    <row r="1262" spans="1:16">
      <c r="A1262" s="1" t="s">
        <v>54</v>
      </c>
      <c r="B1262" s="1" t="s">
        <v>1239</v>
      </c>
      <c r="C1262" s="1">
        <v>2009</v>
      </c>
      <c r="D1262" s="1" t="s">
        <v>1711</v>
      </c>
      <c r="E1262" s="17">
        <v>40151</v>
      </c>
      <c r="F1262" s="18" t="str">
        <f t="shared" si="19"/>
        <v>PEPE2009_Diciembre</v>
      </c>
      <c r="G1262" s="1" t="s">
        <v>1533</v>
      </c>
      <c r="H1262" s="3">
        <v>6.7513166666666669</v>
      </c>
      <c r="I1262" s="3">
        <v>-77.606916666666663</v>
      </c>
      <c r="J1262" s="12">
        <v>23.2</v>
      </c>
      <c r="K1262" s="12">
        <v>28.5</v>
      </c>
      <c r="L1262" s="4">
        <v>110.05113162662296</v>
      </c>
      <c r="M1262" s="5">
        <v>0</v>
      </c>
      <c r="N1262" s="5">
        <v>267</v>
      </c>
      <c r="O1262" s="1">
        <v>0</v>
      </c>
      <c r="P1262" s="5">
        <v>156.8228625679377</v>
      </c>
    </row>
    <row r="1263" spans="1:16">
      <c r="A1263" s="1" t="s">
        <v>55</v>
      </c>
      <c r="B1263" s="1" t="s">
        <v>1239</v>
      </c>
      <c r="C1263" s="1">
        <v>2009</v>
      </c>
      <c r="D1263" s="1" t="s">
        <v>1711</v>
      </c>
      <c r="E1263" s="17">
        <v>40151</v>
      </c>
      <c r="F1263" s="18" t="str">
        <f t="shared" si="19"/>
        <v>PEPE2009_Diciembre</v>
      </c>
      <c r="G1263" s="1" t="s">
        <v>1534</v>
      </c>
      <c r="H1263" s="3">
        <v>6.8280333333333338</v>
      </c>
      <c r="I1263" s="3">
        <v>-77.74111666666667</v>
      </c>
      <c r="J1263" s="12">
        <v>23.5</v>
      </c>
      <c r="K1263" s="12">
        <v>28.6</v>
      </c>
      <c r="L1263" s="4">
        <v>141.89641896291255</v>
      </c>
      <c r="M1263" s="5">
        <v>0</v>
      </c>
      <c r="N1263" s="5">
        <v>417</v>
      </c>
      <c r="O1263" s="1">
        <v>0</v>
      </c>
      <c r="P1263" s="5">
        <v>342.67985179543382</v>
      </c>
    </row>
    <row r="1264" spans="1:16">
      <c r="A1264" s="1" t="s">
        <v>60</v>
      </c>
      <c r="B1264" s="1" t="s">
        <v>1239</v>
      </c>
      <c r="C1264" s="1">
        <v>2009</v>
      </c>
      <c r="D1264" s="1" t="s">
        <v>1711</v>
      </c>
      <c r="E1264" s="17">
        <v>40152</v>
      </c>
      <c r="F1264" s="18" t="str">
        <f t="shared" si="19"/>
        <v>PEPE2009_Diciembre</v>
      </c>
      <c r="G1264" s="1" t="s">
        <v>1342</v>
      </c>
      <c r="H1264" s="3">
        <v>6.6152499999999996</v>
      </c>
      <c r="I1264" s="3">
        <v>-77.527483333333336</v>
      </c>
      <c r="J1264" s="12">
        <v>23.5</v>
      </c>
      <c r="K1264" s="12">
        <v>28.4</v>
      </c>
      <c r="L1264" s="4">
        <v>48.665541694538639</v>
      </c>
      <c r="M1264" s="5">
        <v>78</v>
      </c>
      <c r="N1264" s="5">
        <v>39</v>
      </c>
      <c r="O1264" s="5">
        <v>0</v>
      </c>
      <c r="P1264" s="5">
        <v>38.835102272241834</v>
      </c>
    </row>
    <row r="1265" spans="1:16">
      <c r="A1265" s="1" t="s">
        <v>61</v>
      </c>
      <c r="B1265" s="1" t="s">
        <v>1239</v>
      </c>
      <c r="C1265" s="1">
        <v>2009</v>
      </c>
      <c r="D1265" s="1" t="s">
        <v>1711</v>
      </c>
      <c r="E1265" s="17">
        <v>40151</v>
      </c>
      <c r="F1265" s="18" t="str">
        <f t="shared" si="19"/>
        <v>PEPE2009_Diciembre</v>
      </c>
      <c r="G1265" s="1" t="s">
        <v>1343</v>
      </c>
      <c r="H1265" s="3">
        <v>6.6627166666666664</v>
      </c>
      <c r="I1265" s="3">
        <v>-77.595583333333337</v>
      </c>
      <c r="J1265" s="12">
        <v>23.3</v>
      </c>
      <c r="K1265" s="12">
        <v>28.6</v>
      </c>
      <c r="L1265" s="4">
        <v>89.822685527634164</v>
      </c>
      <c r="M1265" s="5">
        <v>12</v>
      </c>
      <c r="N1265" s="5">
        <v>23</v>
      </c>
      <c r="O1265" s="5">
        <v>0</v>
      </c>
      <c r="P1265" s="5">
        <v>11.632037775828623</v>
      </c>
    </row>
    <row r="1266" spans="1:16">
      <c r="A1266" s="1" t="s">
        <v>64</v>
      </c>
      <c r="B1266" s="1" t="s">
        <v>1239</v>
      </c>
      <c r="C1266" s="1">
        <v>2009</v>
      </c>
      <c r="D1266" s="1" t="s">
        <v>1711</v>
      </c>
      <c r="E1266" s="17">
        <v>40152</v>
      </c>
      <c r="F1266" s="18" t="str">
        <f t="shared" si="19"/>
        <v>PEPE2009_Diciembre</v>
      </c>
      <c r="G1266" s="1" t="s">
        <v>1493</v>
      </c>
      <c r="H1266" s="3">
        <v>6.497583333333333</v>
      </c>
      <c r="I1266" s="3">
        <v>-77.371733333333339</v>
      </c>
      <c r="J1266" s="12">
        <v>24.7</v>
      </c>
      <c r="K1266" s="12">
        <v>28.7</v>
      </c>
      <c r="L1266" s="4">
        <v>42.772707394111507</v>
      </c>
      <c r="M1266" s="5">
        <v>53</v>
      </c>
      <c r="N1266" s="5">
        <v>27</v>
      </c>
      <c r="O1266" s="5">
        <v>0</v>
      </c>
      <c r="P1266" s="5">
        <v>6.6297696460872846</v>
      </c>
    </row>
    <row r="1267" spans="1:16">
      <c r="A1267" s="1" t="s">
        <v>69</v>
      </c>
      <c r="B1267" s="1" t="s">
        <v>1239</v>
      </c>
      <c r="C1267" s="1">
        <v>2009</v>
      </c>
      <c r="D1267" s="1" t="s">
        <v>1711</v>
      </c>
      <c r="E1267" s="17">
        <v>40152</v>
      </c>
      <c r="F1267" s="18" t="str">
        <f t="shared" si="19"/>
        <v>PEPE2009_Diciembre</v>
      </c>
      <c r="G1267" s="1" t="s">
        <v>1346</v>
      </c>
      <c r="H1267" s="3">
        <v>6.3345833333333337</v>
      </c>
      <c r="I1267" s="3">
        <v>-77.393749999999997</v>
      </c>
      <c r="J1267" s="12">
        <v>22.4</v>
      </c>
      <c r="K1267" s="12">
        <v>28.4</v>
      </c>
      <c r="L1267" s="4">
        <v>136.09497807217298</v>
      </c>
      <c r="M1267" s="5">
        <v>124</v>
      </c>
      <c r="N1267" s="5">
        <v>124</v>
      </c>
      <c r="O1267" s="5">
        <v>0</v>
      </c>
      <c r="P1267" s="5">
        <v>0</v>
      </c>
    </row>
    <row r="1268" spans="1:16">
      <c r="A1268" s="1" t="s">
        <v>70</v>
      </c>
      <c r="B1268" s="1" t="s">
        <v>1239</v>
      </c>
      <c r="C1268" s="1">
        <v>2009</v>
      </c>
      <c r="D1268" s="1" t="s">
        <v>1711</v>
      </c>
      <c r="E1268" s="17">
        <v>40151</v>
      </c>
      <c r="F1268" s="18" t="str">
        <f t="shared" si="19"/>
        <v>PEPE2009_Diciembre</v>
      </c>
      <c r="G1268" s="1" t="s">
        <v>1347</v>
      </c>
      <c r="H1268" s="3">
        <v>6.334316666666667</v>
      </c>
      <c r="I1268" s="3">
        <v>-77.434116666666668</v>
      </c>
      <c r="J1268" s="12">
        <v>23.2</v>
      </c>
      <c r="K1268" s="12">
        <v>28.8</v>
      </c>
      <c r="L1268" s="4">
        <v>50.934556149783553</v>
      </c>
      <c r="M1268" s="5">
        <v>101</v>
      </c>
      <c r="N1268" s="5">
        <v>180</v>
      </c>
      <c r="O1268" s="5">
        <v>0</v>
      </c>
      <c r="P1268" s="5">
        <v>0</v>
      </c>
    </row>
    <row r="1269" spans="1:16">
      <c r="A1269" s="1" t="s">
        <v>71</v>
      </c>
      <c r="B1269" s="1" t="s">
        <v>1239</v>
      </c>
      <c r="C1269" s="1">
        <v>2009</v>
      </c>
      <c r="D1269" s="1" t="s">
        <v>1711</v>
      </c>
      <c r="E1269" s="17">
        <v>40151</v>
      </c>
      <c r="F1269" s="18" t="str">
        <f t="shared" si="19"/>
        <v>PEPE2009_Diciembre</v>
      </c>
      <c r="G1269" s="1" t="s">
        <v>1539</v>
      </c>
      <c r="H1269" s="3">
        <v>6.3315999999999999</v>
      </c>
      <c r="I1269" s="3">
        <v>-77.513466666666673</v>
      </c>
      <c r="J1269" s="12">
        <v>22.9</v>
      </c>
      <c r="K1269" s="12">
        <v>29.4</v>
      </c>
      <c r="L1269" s="4">
        <v>93.134120938791185</v>
      </c>
      <c r="M1269" s="5">
        <v>570</v>
      </c>
      <c r="N1269" s="5">
        <v>30</v>
      </c>
      <c r="O1269" s="5">
        <v>0</v>
      </c>
      <c r="P1269" s="5">
        <v>29.989186942290765</v>
      </c>
    </row>
    <row r="1270" spans="1:16">
      <c r="A1270" s="1" t="s">
        <v>74</v>
      </c>
      <c r="B1270" s="1" t="s">
        <v>1239</v>
      </c>
      <c r="C1270" s="1">
        <v>2009</v>
      </c>
      <c r="D1270" s="1" t="s">
        <v>1711</v>
      </c>
      <c r="E1270" s="17">
        <v>40152</v>
      </c>
      <c r="F1270" s="18" t="str">
        <f t="shared" si="19"/>
        <v>PEPE2009_Diciembre</v>
      </c>
      <c r="G1270" s="1" t="s">
        <v>1500</v>
      </c>
      <c r="H1270" s="3">
        <v>6.1673833333333334</v>
      </c>
      <c r="I1270" s="3">
        <v>-77.499116666666666</v>
      </c>
      <c r="J1270" s="12">
        <v>23.6</v>
      </c>
      <c r="K1270" s="12">
        <v>28.3</v>
      </c>
      <c r="L1270" s="4">
        <v>95.459331785441179</v>
      </c>
      <c r="M1270" s="5">
        <v>122</v>
      </c>
      <c r="N1270" s="5">
        <v>46</v>
      </c>
      <c r="O1270" s="5">
        <v>0</v>
      </c>
      <c r="P1270" s="5">
        <v>15.273493085670589</v>
      </c>
    </row>
    <row r="1271" spans="1:16">
      <c r="A1271" s="1" t="s">
        <v>1240</v>
      </c>
      <c r="B1271" s="1" t="s">
        <v>1239</v>
      </c>
      <c r="C1271" s="1">
        <v>2009</v>
      </c>
      <c r="D1271" s="1" t="s">
        <v>1711</v>
      </c>
      <c r="E1271" s="17">
        <v>40153</v>
      </c>
      <c r="F1271" s="18" t="str">
        <f t="shared" si="19"/>
        <v>PEPE2009_Diciembre</v>
      </c>
      <c r="G1271" s="1" t="s">
        <v>1615</v>
      </c>
      <c r="H1271" s="3">
        <v>6.0079666666666665</v>
      </c>
      <c r="I1271" s="3">
        <v>-77.352333333333334</v>
      </c>
      <c r="J1271" s="12">
        <v>23.7</v>
      </c>
      <c r="K1271" s="12">
        <v>28.4</v>
      </c>
      <c r="L1271" s="4">
        <v>134.73402829145124</v>
      </c>
      <c r="M1271" s="5">
        <v>6</v>
      </c>
      <c r="N1271" s="5">
        <v>19</v>
      </c>
      <c r="O1271" s="5">
        <v>0</v>
      </c>
      <c r="P1271" s="5">
        <v>6.4479856396623099</v>
      </c>
    </row>
    <row r="1272" spans="1:16">
      <c r="A1272" s="1" t="s">
        <v>79</v>
      </c>
      <c r="B1272" s="1" t="s">
        <v>1239</v>
      </c>
      <c r="C1272" s="1">
        <v>2009</v>
      </c>
      <c r="D1272" s="1" t="s">
        <v>1711</v>
      </c>
      <c r="E1272" s="17">
        <v>40152</v>
      </c>
      <c r="F1272" s="18" t="str">
        <f t="shared" si="19"/>
        <v>PEPE2009_Diciembre</v>
      </c>
      <c r="G1272" s="1" t="s">
        <v>1540</v>
      </c>
      <c r="H1272" s="3">
        <v>6.0048000000000004</v>
      </c>
      <c r="I1272" s="3">
        <v>-77.39961666666666</v>
      </c>
      <c r="J1272" s="12">
        <v>24</v>
      </c>
      <c r="K1272" s="12">
        <v>28.2</v>
      </c>
      <c r="L1272" s="4">
        <v>124.09713132107353</v>
      </c>
      <c r="M1272" s="5">
        <v>0</v>
      </c>
      <c r="N1272" s="5">
        <v>60</v>
      </c>
      <c r="O1272" s="1">
        <v>0</v>
      </c>
      <c r="P1272" s="5">
        <v>0</v>
      </c>
    </row>
    <row r="1273" spans="1:16">
      <c r="A1273" s="1" t="s">
        <v>80</v>
      </c>
      <c r="B1273" s="1" t="s">
        <v>1239</v>
      </c>
      <c r="C1273" s="1">
        <v>2009</v>
      </c>
      <c r="D1273" s="1" t="s">
        <v>1711</v>
      </c>
      <c r="E1273" s="17">
        <v>40153</v>
      </c>
      <c r="F1273" s="18" t="str">
        <f t="shared" si="19"/>
        <v>PEPE2009_Diciembre</v>
      </c>
      <c r="G1273" s="1" t="s">
        <v>1352</v>
      </c>
      <c r="H1273" s="3">
        <v>5.9972000000000003</v>
      </c>
      <c r="I1273" s="3">
        <v>-77.450883333333337</v>
      </c>
      <c r="J1273" s="12">
        <v>25.7</v>
      </c>
      <c r="K1273" s="12">
        <v>27.8</v>
      </c>
      <c r="L1273" s="4">
        <v>83.994496008665536</v>
      </c>
      <c r="M1273" s="5">
        <v>56</v>
      </c>
      <c r="N1273" s="5">
        <v>179</v>
      </c>
      <c r="O1273" s="5">
        <v>0</v>
      </c>
      <c r="P1273" s="5">
        <v>6</v>
      </c>
    </row>
    <row r="1274" spans="1:16">
      <c r="A1274" s="1" t="s">
        <v>81</v>
      </c>
      <c r="B1274" s="1" t="s">
        <v>1239</v>
      </c>
      <c r="C1274" s="1">
        <v>2009</v>
      </c>
      <c r="D1274" s="1" t="s">
        <v>1711</v>
      </c>
      <c r="E1274" s="17">
        <v>40153</v>
      </c>
      <c r="F1274" s="18" t="str">
        <f t="shared" si="19"/>
        <v>PEPE2009_Diciembre</v>
      </c>
      <c r="G1274" s="1" t="s">
        <v>1541</v>
      </c>
      <c r="H1274" s="3">
        <v>6.0003833333333336</v>
      </c>
      <c r="I1274" s="3">
        <v>-77.52203333333334</v>
      </c>
      <c r="J1274" s="12">
        <v>25.5</v>
      </c>
      <c r="K1274" s="12">
        <v>27.9</v>
      </c>
      <c r="L1274" s="4">
        <v>87.979309518671528</v>
      </c>
      <c r="M1274" s="5">
        <v>0</v>
      </c>
      <c r="N1274" s="5">
        <v>111</v>
      </c>
      <c r="O1274" s="1">
        <v>0</v>
      </c>
      <c r="P1274" s="5">
        <v>18.475654998921019</v>
      </c>
    </row>
    <row r="1275" spans="1:16">
      <c r="A1275" s="1" t="s">
        <v>84</v>
      </c>
      <c r="B1275" s="1" t="s">
        <v>1239</v>
      </c>
      <c r="C1275" s="1">
        <v>2009</v>
      </c>
      <c r="D1275" s="1" t="s">
        <v>1711</v>
      </c>
      <c r="E1275" s="17">
        <v>40154</v>
      </c>
      <c r="F1275" s="18" t="str">
        <f t="shared" si="19"/>
        <v>PEPE2009_Diciembre</v>
      </c>
      <c r="G1275" s="1" t="s">
        <v>1356</v>
      </c>
      <c r="H1275" s="3">
        <v>5.8249333333333331</v>
      </c>
      <c r="I1275" s="3">
        <v>-77.307716666666664</v>
      </c>
      <c r="J1275" s="12">
        <v>25</v>
      </c>
      <c r="K1275" s="12">
        <v>27.7</v>
      </c>
      <c r="L1275" s="4">
        <v>69.010112051718934</v>
      </c>
      <c r="M1275" s="5">
        <v>471</v>
      </c>
      <c r="N1275" s="5">
        <v>250</v>
      </c>
      <c r="O1275" s="5">
        <v>22.083235856550061</v>
      </c>
      <c r="P1275" s="5">
        <v>73.6107861885002</v>
      </c>
    </row>
    <row r="1276" spans="1:16">
      <c r="A1276" s="1" t="s">
        <v>85</v>
      </c>
      <c r="B1276" s="1" t="s">
        <v>1239</v>
      </c>
      <c r="C1276" s="1">
        <v>2009</v>
      </c>
      <c r="D1276" s="1" t="s">
        <v>1711</v>
      </c>
      <c r="E1276" s="17">
        <v>40154</v>
      </c>
      <c r="F1276" s="18" t="str">
        <f t="shared" si="19"/>
        <v>PEPE2009_Diciembre</v>
      </c>
      <c r="G1276" s="1" t="s">
        <v>1357</v>
      </c>
      <c r="H1276" s="3">
        <v>5.828616666666667</v>
      </c>
      <c r="I1276" s="3">
        <v>-77.384916666666669</v>
      </c>
      <c r="J1276" s="12">
        <v>25.8</v>
      </c>
      <c r="K1276" s="12">
        <v>27.5</v>
      </c>
      <c r="L1276" s="4">
        <v>57.090689954004773</v>
      </c>
      <c r="M1276" s="5">
        <v>34</v>
      </c>
      <c r="N1276" s="5">
        <v>102</v>
      </c>
      <c r="O1276" s="5">
        <v>0</v>
      </c>
      <c r="P1276" s="5">
        <v>17.051086066262759</v>
      </c>
    </row>
    <row r="1277" spans="1:16">
      <c r="A1277" s="1" t="s">
        <v>1241</v>
      </c>
      <c r="B1277" s="1" t="s">
        <v>1239</v>
      </c>
      <c r="C1277" s="1">
        <v>2009</v>
      </c>
      <c r="D1277" s="1" t="s">
        <v>1711</v>
      </c>
      <c r="E1277" s="17">
        <v>40154</v>
      </c>
      <c r="F1277" s="18" t="str">
        <f t="shared" si="19"/>
        <v>PEPE2009_Diciembre</v>
      </c>
      <c r="G1277" s="1" t="s">
        <v>1504</v>
      </c>
      <c r="H1277" s="3">
        <v>5.6700999999999997</v>
      </c>
      <c r="I1277" s="3">
        <v>-77.338216666666668</v>
      </c>
      <c r="J1277" s="12">
        <v>26.2</v>
      </c>
      <c r="K1277" s="12">
        <v>27.2</v>
      </c>
      <c r="L1277" s="4">
        <v>35.860767986317825</v>
      </c>
      <c r="M1277" s="5">
        <v>158</v>
      </c>
      <c r="N1277" s="5">
        <v>621</v>
      </c>
      <c r="O1277" s="5">
        <v>22.592283831380229</v>
      </c>
      <c r="P1277" s="5">
        <v>56.480709578450572</v>
      </c>
    </row>
    <row r="1278" spans="1:16">
      <c r="A1278" s="1" t="s">
        <v>1242</v>
      </c>
      <c r="B1278" s="1" t="s">
        <v>1239</v>
      </c>
      <c r="C1278" s="1">
        <v>2009</v>
      </c>
      <c r="D1278" s="1" t="s">
        <v>1711</v>
      </c>
      <c r="E1278" s="17">
        <v>40154</v>
      </c>
      <c r="F1278" s="18" t="str">
        <f t="shared" si="19"/>
        <v>PEPE2009_Diciembre</v>
      </c>
      <c r="G1278" s="1" t="s">
        <v>1505</v>
      </c>
      <c r="H1278" s="3">
        <v>5.6679500000000003</v>
      </c>
      <c r="I1278" s="3">
        <v>-77.415649999999999</v>
      </c>
      <c r="J1278" s="12">
        <v>26.6</v>
      </c>
      <c r="K1278" s="12">
        <v>27.5</v>
      </c>
      <c r="L1278" s="4">
        <v>48.26705210031519</v>
      </c>
      <c r="M1278" s="5">
        <v>65</v>
      </c>
      <c r="N1278" s="5">
        <v>324</v>
      </c>
      <c r="O1278" s="5">
        <v>0</v>
      </c>
      <c r="P1278" s="5">
        <v>0</v>
      </c>
    </row>
    <row r="1279" spans="1:16">
      <c r="A1279" s="1" t="s">
        <v>1243</v>
      </c>
      <c r="B1279" s="1" t="s">
        <v>1239</v>
      </c>
      <c r="C1279" s="1">
        <v>2009</v>
      </c>
      <c r="D1279" s="1" t="s">
        <v>1711</v>
      </c>
      <c r="E1279" s="17">
        <v>40154</v>
      </c>
      <c r="F1279" s="18" t="str">
        <f t="shared" si="19"/>
        <v>PEPE2009_Diciembre</v>
      </c>
      <c r="G1279" s="1" t="s">
        <v>1506</v>
      </c>
      <c r="H1279" s="3">
        <v>5.6680166666666665</v>
      </c>
      <c r="I1279" s="3">
        <v>-77.498883333333339</v>
      </c>
      <c r="J1279" s="12">
        <v>26.5</v>
      </c>
      <c r="K1279" s="12">
        <v>27.4</v>
      </c>
      <c r="L1279" s="4">
        <v>63.439789105840276</v>
      </c>
      <c r="M1279" s="5">
        <v>71</v>
      </c>
      <c r="N1279" s="5">
        <v>284</v>
      </c>
      <c r="O1279" s="5">
        <v>23.684187932847038</v>
      </c>
      <c r="P1279" s="5">
        <v>23.684187932847038</v>
      </c>
    </row>
    <row r="1280" spans="1:16">
      <c r="A1280" s="1" t="s">
        <v>1244</v>
      </c>
      <c r="B1280" s="1" t="s">
        <v>1239</v>
      </c>
      <c r="C1280" s="1">
        <v>2009</v>
      </c>
      <c r="D1280" s="1" t="s">
        <v>1711</v>
      </c>
      <c r="E1280" s="17">
        <v>40154</v>
      </c>
      <c r="F1280" s="18" t="str">
        <f t="shared" si="19"/>
        <v>PEPE2009_Diciembre</v>
      </c>
      <c r="G1280" s="1" t="s">
        <v>1361</v>
      </c>
      <c r="H1280" s="3">
        <v>5.5073833333333333</v>
      </c>
      <c r="I1280" s="3">
        <v>-77.55246666666666</v>
      </c>
      <c r="J1280" s="12">
        <v>25.4</v>
      </c>
      <c r="K1280" s="12">
        <v>27.4</v>
      </c>
      <c r="L1280" s="4">
        <v>56.753392661059884</v>
      </c>
      <c r="M1280" s="5">
        <v>66</v>
      </c>
      <c r="N1280" s="5">
        <v>264</v>
      </c>
      <c r="O1280" s="5">
        <v>0</v>
      </c>
      <c r="P1280" s="5">
        <v>88.122540604627517</v>
      </c>
    </row>
    <row r="1281" spans="1:16">
      <c r="A1281" s="1" t="s">
        <v>1245</v>
      </c>
      <c r="B1281" s="1" t="s">
        <v>1239</v>
      </c>
      <c r="C1281" s="1">
        <v>2009</v>
      </c>
      <c r="D1281" s="1" t="s">
        <v>1711</v>
      </c>
      <c r="E1281" s="17">
        <v>40154</v>
      </c>
      <c r="F1281" s="18" t="str">
        <f t="shared" si="19"/>
        <v>PEPE2009_Diciembre</v>
      </c>
      <c r="G1281" s="1" t="s">
        <v>1509</v>
      </c>
      <c r="H1281" s="3">
        <v>5.497583333333333</v>
      </c>
      <c r="I1281" s="3">
        <v>-77.635166666666663</v>
      </c>
      <c r="J1281" s="12">
        <v>24.6</v>
      </c>
      <c r="K1281" s="12">
        <v>27.1</v>
      </c>
      <c r="L1281" s="4">
        <v>83.909092352327292</v>
      </c>
      <c r="M1281" s="5">
        <v>28</v>
      </c>
      <c r="N1281" s="5">
        <v>141</v>
      </c>
      <c r="O1281" s="5">
        <v>0</v>
      </c>
      <c r="P1281" s="5">
        <v>0</v>
      </c>
    </row>
    <row r="1282" spans="1:16">
      <c r="A1282" s="1" t="s">
        <v>1246</v>
      </c>
      <c r="B1282" s="1" t="s">
        <v>1239</v>
      </c>
      <c r="C1282" s="1">
        <v>2009</v>
      </c>
      <c r="D1282" s="1" t="s">
        <v>1711</v>
      </c>
      <c r="E1282" s="17">
        <v>40154</v>
      </c>
      <c r="F1282" s="18" t="str">
        <f t="shared" si="19"/>
        <v>PEPE2009_Diciembre</v>
      </c>
      <c r="G1282" s="1" t="s">
        <v>1616</v>
      </c>
      <c r="H1282" s="3">
        <v>5.4432333333333336</v>
      </c>
      <c r="I1282" s="3">
        <v>-77.452483333333333</v>
      </c>
      <c r="J1282" s="12">
        <v>22.5</v>
      </c>
      <c r="K1282" s="12">
        <v>27.3</v>
      </c>
      <c r="L1282" s="4">
        <v>192.47718327350179</v>
      </c>
      <c r="M1282" s="5">
        <v>136</v>
      </c>
      <c r="N1282" s="5">
        <v>72</v>
      </c>
      <c r="O1282" s="5">
        <v>2.1894279597360828</v>
      </c>
      <c r="P1282" s="5">
        <v>70.061694711554651</v>
      </c>
    </row>
    <row r="1283" spans="1:16">
      <c r="A1283" s="1" t="s">
        <v>1247</v>
      </c>
      <c r="B1283" s="1" t="s">
        <v>1239</v>
      </c>
      <c r="C1283" s="1">
        <v>2009</v>
      </c>
      <c r="D1283" s="1" t="s">
        <v>1711</v>
      </c>
      <c r="E1283" s="17">
        <v>40154</v>
      </c>
      <c r="F1283" s="18" t="str">
        <f t="shared" ref="F1283:F1346" si="20">"PEPE"&amp;C1283&amp;"_"&amp;D1283</f>
        <v>PEPE2009_Diciembre</v>
      </c>
      <c r="G1283" s="1" t="s">
        <v>1510</v>
      </c>
      <c r="H1283" s="3">
        <v>5.3295166666666667</v>
      </c>
      <c r="I1283" s="3">
        <v>-77.422666666666672</v>
      </c>
      <c r="J1283" s="12">
        <v>20.9</v>
      </c>
      <c r="K1283" s="12">
        <v>27.5</v>
      </c>
      <c r="L1283" s="4">
        <v>69.043791950231238</v>
      </c>
      <c r="M1283" s="5">
        <v>43</v>
      </c>
      <c r="N1283" s="5">
        <v>21</v>
      </c>
      <c r="O1283" s="5">
        <v>16.435874673752544</v>
      </c>
      <c r="P1283" s="5">
        <v>10.004445453588506</v>
      </c>
    </row>
    <row r="1284" spans="1:16">
      <c r="A1284" s="1" t="s">
        <v>1248</v>
      </c>
      <c r="B1284" s="1" t="s">
        <v>1239</v>
      </c>
      <c r="C1284" s="1">
        <v>2009</v>
      </c>
      <c r="D1284" s="1" t="s">
        <v>1711</v>
      </c>
      <c r="E1284" s="17">
        <v>40154</v>
      </c>
      <c r="F1284" s="18" t="str">
        <f t="shared" si="20"/>
        <v>PEPE2009_Diciembre</v>
      </c>
      <c r="G1284" s="1" t="s">
        <v>1365</v>
      </c>
      <c r="H1284" s="3">
        <v>5.3278499999999998</v>
      </c>
      <c r="I1284" s="3">
        <v>-77.491433333333333</v>
      </c>
      <c r="J1284" s="12">
        <v>25.5</v>
      </c>
      <c r="K1284" s="12">
        <v>27.5</v>
      </c>
      <c r="L1284" s="4">
        <v>89.143496979221055</v>
      </c>
      <c r="M1284" s="5">
        <v>449</v>
      </c>
      <c r="N1284" s="5">
        <v>258</v>
      </c>
      <c r="O1284" s="5">
        <v>0</v>
      </c>
      <c r="P1284" s="5">
        <v>27.188766578662424</v>
      </c>
    </row>
    <row r="1285" spans="1:16">
      <c r="A1285" s="1" t="s">
        <v>1249</v>
      </c>
      <c r="B1285" s="1" t="s">
        <v>1239</v>
      </c>
      <c r="C1285" s="1">
        <v>2009</v>
      </c>
      <c r="D1285" s="1" t="s">
        <v>1711</v>
      </c>
      <c r="E1285" s="17">
        <v>40154</v>
      </c>
      <c r="F1285" s="18" t="str">
        <f t="shared" si="20"/>
        <v>PEPE2009_Diciembre</v>
      </c>
      <c r="G1285" s="1" t="s">
        <v>1366</v>
      </c>
      <c r="H1285" s="3">
        <v>5.333566666666667</v>
      </c>
      <c r="I1285" s="3">
        <v>-77.56571666666666</v>
      </c>
      <c r="J1285" s="12">
        <v>24</v>
      </c>
      <c r="K1285" s="12">
        <v>27</v>
      </c>
      <c r="L1285" s="4">
        <v>96.831437170447515</v>
      </c>
      <c r="M1285" s="5">
        <v>13</v>
      </c>
      <c r="N1285" s="5">
        <v>139</v>
      </c>
      <c r="O1285" s="5">
        <v>0</v>
      </c>
      <c r="P1285" s="5">
        <v>12.652641123605143</v>
      </c>
    </row>
    <row r="1286" spans="1:16">
      <c r="A1286" s="1" t="s">
        <v>1250</v>
      </c>
      <c r="B1286" s="1" t="s">
        <v>1239</v>
      </c>
      <c r="C1286" s="1">
        <v>2009</v>
      </c>
      <c r="D1286" s="1" t="s">
        <v>1711</v>
      </c>
      <c r="E1286" s="17">
        <v>40154</v>
      </c>
      <c r="F1286" s="18" t="str">
        <f t="shared" si="20"/>
        <v>PEPE2009_Diciembre</v>
      </c>
      <c r="G1286" s="1" t="s">
        <v>1511</v>
      </c>
      <c r="H1286" s="3">
        <v>6.3905000000000003</v>
      </c>
      <c r="I1286" s="3">
        <v>-77.405966666666671</v>
      </c>
      <c r="J1286" s="12">
        <v>24.7</v>
      </c>
      <c r="K1286" s="12">
        <v>27.2</v>
      </c>
      <c r="L1286" s="4">
        <v>40.015654616586374</v>
      </c>
      <c r="M1286" s="5">
        <v>564</v>
      </c>
      <c r="N1286" s="5">
        <v>28</v>
      </c>
      <c r="O1286" s="5">
        <v>65.502548480073699</v>
      </c>
      <c r="P1286" s="5">
        <v>23.393767314312033</v>
      </c>
    </row>
    <row r="1287" spans="1:16">
      <c r="A1287" s="1" t="s">
        <v>1251</v>
      </c>
      <c r="B1287" s="1" t="s">
        <v>1239</v>
      </c>
      <c r="C1287" s="1">
        <v>2009</v>
      </c>
      <c r="D1287" s="1" t="s">
        <v>1711</v>
      </c>
      <c r="E1287" s="17">
        <v>40154</v>
      </c>
      <c r="F1287" s="18" t="str">
        <f t="shared" si="20"/>
        <v>PEPE2009_Diciembre</v>
      </c>
      <c r="G1287" s="1" t="s">
        <v>1379</v>
      </c>
      <c r="H1287" s="3">
        <v>5.1677</v>
      </c>
      <c r="I1287" s="3">
        <v>-77.500166666666672</v>
      </c>
      <c r="J1287" s="12">
        <v>24.7</v>
      </c>
      <c r="K1287" s="12">
        <v>27.2</v>
      </c>
      <c r="L1287" s="4">
        <v>157.05881732558848</v>
      </c>
      <c r="M1287" s="5">
        <v>87</v>
      </c>
      <c r="N1287" s="5">
        <v>537</v>
      </c>
      <c r="O1287" s="5">
        <v>0</v>
      </c>
      <c r="P1287" s="5">
        <v>155.84161149131518</v>
      </c>
    </row>
    <row r="1288" spans="1:16">
      <c r="A1288" s="1" t="s">
        <v>1252</v>
      </c>
      <c r="B1288" s="1" t="s">
        <v>1239</v>
      </c>
      <c r="C1288" s="1">
        <v>2009</v>
      </c>
      <c r="D1288" s="1" t="s">
        <v>1711</v>
      </c>
      <c r="E1288" s="17">
        <v>40155</v>
      </c>
      <c r="F1288" s="18" t="str">
        <f t="shared" si="20"/>
        <v>PEPE2009_Diciembre</v>
      </c>
      <c r="G1288" s="1" t="s">
        <v>1383</v>
      </c>
      <c r="H1288" s="3">
        <v>5.0012999999999996</v>
      </c>
      <c r="I1288" s="3">
        <v>-77.400933333333327</v>
      </c>
      <c r="J1288" s="12">
        <v>23.9</v>
      </c>
      <c r="K1288" s="12">
        <v>27.2</v>
      </c>
      <c r="L1288" s="4">
        <v>38.214675771481311</v>
      </c>
      <c r="M1288" s="5">
        <v>570</v>
      </c>
      <c r="N1288" s="5">
        <v>31</v>
      </c>
      <c r="O1288" s="5">
        <v>32.48247440575912</v>
      </c>
      <c r="P1288" s="5">
        <v>18.190185667225109</v>
      </c>
    </row>
    <row r="1289" spans="1:16">
      <c r="A1289" s="1" t="s">
        <v>1253</v>
      </c>
      <c r="B1289" s="1" t="s">
        <v>1239</v>
      </c>
      <c r="C1289" s="1">
        <v>2009</v>
      </c>
      <c r="D1289" s="1" t="s">
        <v>1711</v>
      </c>
      <c r="E1289" s="17">
        <v>40155</v>
      </c>
      <c r="F1289" s="18" t="str">
        <f t="shared" si="20"/>
        <v>PEPE2009_Diciembre</v>
      </c>
      <c r="G1289" s="1" t="s">
        <v>1384</v>
      </c>
      <c r="H1289" s="3">
        <v>5.0015333333333336</v>
      </c>
      <c r="I1289" s="3">
        <v>-77.457099999999997</v>
      </c>
      <c r="J1289" s="12">
        <v>25</v>
      </c>
      <c r="K1289" s="12">
        <v>27</v>
      </c>
      <c r="L1289" s="4">
        <v>210.89852371202119</v>
      </c>
      <c r="M1289" s="5">
        <v>1332</v>
      </c>
      <c r="N1289" s="5">
        <v>444</v>
      </c>
      <c r="O1289" s="5">
        <v>274.16808082562756</v>
      </c>
      <c r="P1289" s="5">
        <v>334.48505860726561</v>
      </c>
    </row>
    <row r="1290" spans="1:16">
      <c r="A1290" s="1" t="s">
        <v>1254</v>
      </c>
      <c r="B1290" s="1" t="s">
        <v>1239</v>
      </c>
      <c r="C1290" s="1">
        <v>2009</v>
      </c>
      <c r="D1290" s="1" t="s">
        <v>1711</v>
      </c>
      <c r="E1290" s="17">
        <v>40155</v>
      </c>
      <c r="F1290" s="18" t="str">
        <f t="shared" si="20"/>
        <v>PEPE2009_Diciembre</v>
      </c>
      <c r="G1290" s="1" t="s">
        <v>1385</v>
      </c>
      <c r="H1290" s="3">
        <v>5.0008833333333333</v>
      </c>
      <c r="I1290" s="3">
        <v>-77.524866666666668</v>
      </c>
      <c r="J1290" s="12">
        <v>25.2</v>
      </c>
      <c r="K1290" s="12">
        <v>27.4</v>
      </c>
      <c r="L1290" s="4">
        <v>143.9905645862838</v>
      </c>
      <c r="M1290" s="5">
        <v>123</v>
      </c>
      <c r="N1290" s="5">
        <v>92</v>
      </c>
      <c r="O1290" s="5">
        <v>15.370992769585794</v>
      </c>
      <c r="P1290" s="5">
        <v>61.483971078343174</v>
      </c>
    </row>
    <row r="1291" spans="1:16">
      <c r="A1291" s="1" t="s">
        <v>1255</v>
      </c>
      <c r="B1291" s="1" t="s">
        <v>1239</v>
      </c>
      <c r="C1291" s="1">
        <v>2009</v>
      </c>
      <c r="D1291" s="1" t="s">
        <v>1711</v>
      </c>
      <c r="E1291" s="17">
        <v>40155</v>
      </c>
      <c r="F1291" s="18" t="str">
        <f t="shared" si="20"/>
        <v>PEPE2009_Diciembre</v>
      </c>
      <c r="G1291" s="1" t="s">
        <v>1388</v>
      </c>
      <c r="H1291" s="3">
        <v>4.837533333333333</v>
      </c>
      <c r="I1291" s="3">
        <v>-77.376066666666674</v>
      </c>
      <c r="J1291" s="12">
        <v>24.9</v>
      </c>
      <c r="K1291" s="12">
        <v>27.7</v>
      </c>
      <c r="L1291" s="4">
        <v>44.037581231447106</v>
      </c>
      <c r="M1291" s="5">
        <v>580</v>
      </c>
      <c r="N1291" s="5">
        <v>5</v>
      </c>
      <c r="O1291" s="5">
        <v>343.62524634898176</v>
      </c>
      <c r="P1291" s="5">
        <v>2.2459166428038024</v>
      </c>
    </row>
    <row r="1292" spans="1:16">
      <c r="A1292" s="1" t="s">
        <v>1256</v>
      </c>
      <c r="B1292" s="1" t="s">
        <v>1239</v>
      </c>
      <c r="C1292" s="1">
        <v>2009</v>
      </c>
      <c r="D1292" s="1" t="s">
        <v>1711</v>
      </c>
      <c r="E1292" s="17">
        <v>40155</v>
      </c>
      <c r="F1292" s="18" t="str">
        <f t="shared" si="20"/>
        <v>PEPE2009_Diciembre</v>
      </c>
      <c r="G1292" s="1" t="s">
        <v>1389</v>
      </c>
      <c r="H1292" s="3">
        <v>4.8365166666666664</v>
      </c>
      <c r="I1292" s="3">
        <v>-77.443550000000002</v>
      </c>
      <c r="J1292" s="12">
        <v>25.1</v>
      </c>
      <c r="K1292" s="12">
        <v>27.5</v>
      </c>
      <c r="L1292" s="4">
        <v>233.89276975467104</v>
      </c>
      <c r="M1292" s="5">
        <v>211</v>
      </c>
      <c r="N1292" s="5">
        <v>251</v>
      </c>
      <c r="O1292" s="5">
        <v>39.624186876085446</v>
      </c>
      <c r="P1292" s="5">
        <v>26.416124584056963</v>
      </c>
    </row>
    <row r="1293" spans="1:16">
      <c r="A1293" s="1" t="s">
        <v>1257</v>
      </c>
      <c r="B1293" s="1" t="s">
        <v>1239</v>
      </c>
      <c r="C1293" s="1">
        <v>2009</v>
      </c>
      <c r="D1293" s="1" t="s">
        <v>1711</v>
      </c>
      <c r="E1293" s="17">
        <v>40155</v>
      </c>
      <c r="F1293" s="18" t="str">
        <f t="shared" si="20"/>
        <v>PEPE2009_Diciembre</v>
      </c>
      <c r="G1293" s="1" t="s">
        <v>1631</v>
      </c>
      <c r="H1293" s="3">
        <v>4.7844499999999996</v>
      </c>
      <c r="I1293" s="3">
        <v>-77.384799999999998</v>
      </c>
      <c r="J1293" s="12">
        <v>23</v>
      </c>
      <c r="K1293" s="12">
        <v>28</v>
      </c>
      <c r="L1293" s="4">
        <v>31.776893464964921</v>
      </c>
      <c r="M1293" s="5">
        <v>378</v>
      </c>
      <c r="N1293" s="5">
        <v>3</v>
      </c>
      <c r="O1293" s="5">
        <v>229.11140188239708</v>
      </c>
      <c r="P1293" s="5">
        <v>2.2243825425475445</v>
      </c>
    </row>
    <row r="1294" spans="1:16">
      <c r="A1294" s="1" t="s">
        <v>1258</v>
      </c>
      <c r="B1294" s="1" t="s">
        <v>1239</v>
      </c>
      <c r="C1294" s="1">
        <v>2009</v>
      </c>
      <c r="D1294" s="1" t="s">
        <v>1711</v>
      </c>
      <c r="E1294" s="17">
        <v>40155</v>
      </c>
      <c r="F1294" s="18" t="str">
        <f t="shared" si="20"/>
        <v>PEPE2009_Diciembre</v>
      </c>
      <c r="G1294" s="1" t="s">
        <v>1548</v>
      </c>
      <c r="H1294" s="3">
        <v>4.6715499999999999</v>
      </c>
      <c r="I1294" s="3">
        <v>-77.357950000000002</v>
      </c>
      <c r="J1294" s="12">
        <v>24.2</v>
      </c>
      <c r="K1294" s="12">
        <v>27.8</v>
      </c>
      <c r="L1294" s="4">
        <v>33.023046149865507</v>
      </c>
      <c r="M1294" s="5">
        <v>729</v>
      </c>
      <c r="N1294" s="5">
        <v>5</v>
      </c>
      <c r="O1294" s="5">
        <v>644.38530413155559</v>
      </c>
      <c r="P1294" s="5">
        <v>2.7343082212088636</v>
      </c>
    </row>
    <row r="1295" spans="1:16">
      <c r="A1295" s="1" t="s">
        <v>1259</v>
      </c>
      <c r="B1295" s="1" t="s">
        <v>1239</v>
      </c>
      <c r="C1295" s="1">
        <v>2009</v>
      </c>
      <c r="D1295" s="1" t="s">
        <v>1711</v>
      </c>
      <c r="E1295" s="17">
        <v>40155</v>
      </c>
      <c r="F1295" s="18" t="str">
        <f t="shared" si="20"/>
        <v>PEPE2009_Diciembre</v>
      </c>
      <c r="G1295" s="1" t="s">
        <v>1617</v>
      </c>
      <c r="H1295" s="3">
        <v>4.6652000000000005</v>
      </c>
      <c r="I1295" s="3">
        <v>-77.421583333333331</v>
      </c>
      <c r="J1295" s="12">
        <v>24.4</v>
      </c>
      <c r="K1295" s="12">
        <v>27.6</v>
      </c>
      <c r="L1295" s="4">
        <v>178.951028440508</v>
      </c>
      <c r="M1295" s="5">
        <v>618</v>
      </c>
      <c r="N1295" s="5">
        <v>674</v>
      </c>
      <c r="O1295" s="5">
        <v>79.334955941958526</v>
      </c>
      <c r="P1295" s="5">
        <v>283.33912836413759</v>
      </c>
    </row>
    <row r="1296" spans="1:16">
      <c r="A1296" s="1" t="s">
        <v>1260</v>
      </c>
      <c r="B1296" s="1" t="s">
        <v>1239</v>
      </c>
      <c r="C1296" s="1">
        <v>2009</v>
      </c>
      <c r="D1296" s="1" t="s">
        <v>1711</v>
      </c>
      <c r="E1296" s="17">
        <v>40155</v>
      </c>
      <c r="F1296" s="18" t="str">
        <f t="shared" si="20"/>
        <v>PEPE2009_Diciembre</v>
      </c>
      <c r="G1296" s="1" t="s">
        <v>1583</v>
      </c>
      <c r="H1296" s="3">
        <v>4.4409000000000001</v>
      </c>
      <c r="I1296" s="3">
        <v>-77.39158333333333</v>
      </c>
      <c r="J1296" s="12">
        <v>22.1</v>
      </c>
      <c r="K1296" s="12">
        <v>27.2</v>
      </c>
      <c r="L1296" s="4">
        <v>96.107832680722709</v>
      </c>
      <c r="M1296" s="5">
        <v>124</v>
      </c>
      <c r="N1296" s="5">
        <v>5</v>
      </c>
      <c r="O1296" s="5">
        <v>47.413197455823209</v>
      </c>
      <c r="P1296" s="5">
        <v>2.3706598727911605</v>
      </c>
    </row>
    <row r="1297" spans="1:16">
      <c r="A1297" s="1" t="s">
        <v>1261</v>
      </c>
      <c r="B1297" s="1" t="s">
        <v>1239</v>
      </c>
      <c r="C1297" s="1">
        <v>2009</v>
      </c>
      <c r="D1297" s="1" t="s">
        <v>1711</v>
      </c>
      <c r="E1297" s="17">
        <v>39790</v>
      </c>
      <c r="F1297" s="18" t="str">
        <f t="shared" si="20"/>
        <v>PEPE2009_Diciembre</v>
      </c>
      <c r="G1297" s="1" t="s">
        <v>1398</v>
      </c>
      <c r="H1297" s="3">
        <v>4.5006000000000004</v>
      </c>
      <c r="I1297" s="3">
        <v>-77.369316666666663</v>
      </c>
      <c r="J1297" s="12">
        <v>23.8</v>
      </c>
      <c r="K1297" s="12">
        <v>27.2</v>
      </c>
      <c r="L1297" s="4">
        <v>102.85380216564852</v>
      </c>
      <c r="M1297" s="5">
        <v>151</v>
      </c>
      <c r="N1297" s="5">
        <v>23</v>
      </c>
      <c r="O1297" s="5">
        <v>91.945065572322164</v>
      </c>
      <c r="P1297" s="5">
        <v>7.7919547095188282</v>
      </c>
    </row>
    <row r="1298" spans="1:16">
      <c r="A1298" s="1" t="s">
        <v>1262</v>
      </c>
      <c r="B1298" s="1" t="s">
        <v>1239</v>
      </c>
      <c r="C1298" s="1">
        <v>2009</v>
      </c>
      <c r="D1298" s="1" t="s">
        <v>1711</v>
      </c>
      <c r="E1298" s="17">
        <v>40155</v>
      </c>
      <c r="F1298" s="18" t="str">
        <f t="shared" si="20"/>
        <v>PEPE2009_Diciembre</v>
      </c>
      <c r="G1298" s="1" t="s">
        <v>1399</v>
      </c>
      <c r="H1298" s="3">
        <v>4.4988166666666665</v>
      </c>
      <c r="I1298" s="3">
        <v>-77.418116666666663</v>
      </c>
      <c r="J1298" s="12">
        <v>22.5</v>
      </c>
      <c r="K1298" s="12">
        <v>27.3</v>
      </c>
      <c r="L1298" s="4">
        <v>99.993447629363729</v>
      </c>
      <c r="M1298" s="5">
        <v>553</v>
      </c>
      <c r="N1298" s="5">
        <v>77</v>
      </c>
      <c r="O1298" s="5">
        <v>43.773131634230268</v>
      </c>
      <c r="P1298" s="5">
        <v>32.829848725672704</v>
      </c>
    </row>
    <row r="1299" spans="1:16">
      <c r="A1299" s="1" t="s">
        <v>1263</v>
      </c>
      <c r="B1299" s="1" t="s">
        <v>1239</v>
      </c>
      <c r="C1299" s="1">
        <v>2009</v>
      </c>
      <c r="D1299" s="1" t="s">
        <v>1711</v>
      </c>
      <c r="E1299" s="17">
        <v>40155</v>
      </c>
      <c r="F1299" s="18" t="str">
        <f t="shared" si="20"/>
        <v>PEPE2009_Diciembre</v>
      </c>
      <c r="G1299" s="1" t="s">
        <v>1400</v>
      </c>
      <c r="H1299" s="3">
        <v>4.5019499999999999</v>
      </c>
      <c r="I1299" s="3">
        <v>-77.505133333333333</v>
      </c>
      <c r="J1299" s="12">
        <v>24.5</v>
      </c>
      <c r="K1299" s="12">
        <v>27.7</v>
      </c>
      <c r="L1299" s="4">
        <v>210.23313742321784</v>
      </c>
      <c r="M1299" s="5">
        <v>106</v>
      </c>
      <c r="N1299" s="5">
        <v>516</v>
      </c>
      <c r="O1299" s="5">
        <v>0</v>
      </c>
      <c r="P1299" s="5">
        <v>0</v>
      </c>
    </row>
    <row r="1300" spans="1:16">
      <c r="A1300" s="1" t="s">
        <v>1264</v>
      </c>
      <c r="B1300" s="1" t="s">
        <v>1239</v>
      </c>
      <c r="C1300" s="1">
        <v>2009</v>
      </c>
      <c r="D1300" s="1" t="s">
        <v>1711</v>
      </c>
      <c r="E1300" s="17">
        <v>40156</v>
      </c>
      <c r="F1300" s="18" t="str">
        <f t="shared" si="20"/>
        <v>PEPE2009_Diciembre</v>
      </c>
      <c r="G1300" s="1" t="s">
        <v>1587</v>
      </c>
      <c r="H1300" s="3">
        <v>4.250283333333333</v>
      </c>
      <c r="I1300" s="3">
        <v>-77.470683333333326</v>
      </c>
      <c r="J1300" s="12">
        <v>16</v>
      </c>
      <c r="K1300" s="12">
        <v>26.6</v>
      </c>
      <c r="L1300" s="4">
        <v>56.206090467232343</v>
      </c>
      <c r="M1300" s="5">
        <v>20</v>
      </c>
      <c r="N1300" s="5">
        <v>3</v>
      </c>
      <c r="O1300" s="5">
        <v>0.77564404844780621</v>
      </c>
      <c r="P1300" s="5">
        <v>1.5512880968956124</v>
      </c>
    </row>
    <row r="1301" spans="1:16">
      <c r="A1301" s="1" t="s">
        <v>1265</v>
      </c>
      <c r="B1301" s="1" t="s">
        <v>1239</v>
      </c>
      <c r="C1301" s="1">
        <v>2009</v>
      </c>
      <c r="D1301" s="1" t="s">
        <v>1711</v>
      </c>
      <c r="E1301" s="17">
        <v>40156</v>
      </c>
      <c r="F1301" s="18" t="str">
        <f t="shared" si="20"/>
        <v>PEPE2009_Diciembre</v>
      </c>
      <c r="G1301" s="1" t="s">
        <v>1588</v>
      </c>
      <c r="H1301" s="3">
        <v>4.2623833333333332</v>
      </c>
      <c r="I1301" s="3">
        <v>-77.499700000000004</v>
      </c>
      <c r="J1301" s="12">
        <v>21.1</v>
      </c>
      <c r="K1301" s="12">
        <v>26.8</v>
      </c>
      <c r="L1301" s="4">
        <v>62.459483313917801</v>
      </c>
      <c r="M1301" s="5">
        <v>40</v>
      </c>
      <c r="N1301" s="5">
        <v>2</v>
      </c>
      <c r="O1301" s="5">
        <v>0.91190845638319984</v>
      </c>
      <c r="P1301" s="5">
        <v>1.3678626845747996</v>
      </c>
    </row>
    <row r="1302" spans="1:16">
      <c r="A1302" s="1" t="s">
        <v>1266</v>
      </c>
      <c r="B1302" s="1" t="s">
        <v>1239</v>
      </c>
      <c r="C1302" s="1">
        <v>2009</v>
      </c>
      <c r="D1302" s="1" t="s">
        <v>1711</v>
      </c>
      <c r="E1302" s="17">
        <v>40156</v>
      </c>
      <c r="F1302" s="18" t="str">
        <f t="shared" si="20"/>
        <v>PEPE2009_Diciembre</v>
      </c>
      <c r="G1302" s="1" t="s">
        <v>1619</v>
      </c>
      <c r="H1302" s="3">
        <v>4.3557833333333331</v>
      </c>
      <c r="I1302" s="3">
        <v>-77.519266666666667</v>
      </c>
      <c r="J1302" s="12">
        <v>24.4</v>
      </c>
      <c r="K1302" s="12">
        <v>27</v>
      </c>
      <c r="L1302" s="4">
        <v>260.79524061853897</v>
      </c>
      <c r="M1302" s="5">
        <v>1100</v>
      </c>
      <c r="N1302" s="5">
        <v>808</v>
      </c>
      <c r="O1302" s="5">
        <v>67.336476061344058</v>
      </c>
      <c r="P1302" s="5">
        <v>89.781968081792087</v>
      </c>
    </row>
    <row r="1303" spans="1:16">
      <c r="A1303" s="1" t="s">
        <v>1267</v>
      </c>
      <c r="B1303" s="1" t="s">
        <v>1239</v>
      </c>
      <c r="C1303" s="1">
        <v>2009</v>
      </c>
      <c r="D1303" s="1" t="s">
        <v>1711</v>
      </c>
      <c r="E1303" s="17">
        <v>40156</v>
      </c>
      <c r="F1303" s="18" t="str">
        <f t="shared" si="20"/>
        <v>PEPE2009_Diciembre</v>
      </c>
      <c r="G1303" s="1" t="s">
        <v>1550</v>
      </c>
      <c r="H1303" s="3">
        <v>4.3295166666666667</v>
      </c>
      <c r="I1303" s="3">
        <v>-77.58253333333333</v>
      </c>
      <c r="J1303" s="12">
        <v>21.4</v>
      </c>
      <c r="K1303" s="12">
        <v>26.7</v>
      </c>
      <c r="L1303" s="4">
        <v>156.27807755429308</v>
      </c>
      <c r="M1303" s="5">
        <v>228</v>
      </c>
      <c r="N1303" s="5">
        <v>263</v>
      </c>
      <c r="O1303" s="5">
        <v>52.509434058242476</v>
      </c>
      <c r="P1303" s="5">
        <v>140.02515748864661</v>
      </c>
    </row>
    <row r="1304" spans="1:16">
      <c r="A1304" s="1" t="s">
        <v>1268</v>
      </c>
      <c r="B1304" s="1" t="s">
        <v>1239</v>
      </c>
      <c r="C1304" s="1">
        <v>2009</v>
      </c>
      <c r="D1304" s="1" t="s">
        <v>1711</v>
      </c>
      <c r="E1304" s="17">
        <v>40156</v>
      </c>
      <c r="F1304" s="18" t="str">
        <f t="shared" si="20"/>
        <v>PEPE2009_Diciembre</v>
      </c>
      <c r="G1304" s="1" t="s">
        <v>1405</v>
      </c>
      <c r="H1304" s="3">
        <v>4.3349333333333337</v>
      </c>
      <c r="I1304" s="3">
        <v>-77.666216666666671</v>
      </c>
      <c r="J1304" s="12">
        <v>23.2</v>
      </c>
      <c r="K1304" s="12">
        <v>26.9</v>
      </c>
      <c r="L1304" s="4">
        <v>118.08273077239468</v>
      </c>
      <c r="M1304" s="5">
        <v>53</v>
      </c>
      <c r="N1304" s="5">
        <v>563</v>
      </c>
      <c r="O1304" s="5">
        <v>17.598136005434306</v>
      </c>
      <c r="P1304" s="5">
        <v>246.37390407608029</v>
      </c>
    </row>
    <row r="1305" spans="1:16">
      <c r="A1305" s="1" t="s">
        <v>1269</v>
      </c>
      <c r="B1305" s="1" t="s">
        <v>1239</v>
      </c>
      <c r="C1305" s="1">
        <v>2009</v>
      </c>
      <c r="D1305" s="1" t="s">
        <v>1711</v>
      </c>
      <c r="E1305" s="17">
        <v>40156</v>
      </c>
      <c r="F1305" s="18" t="str">
        <f t="shared" si="20"/>
        <v>PEPE2009_Diciembre</v>
      </c>
      <c r="G1305" s="1" t="s">
        <v>1408</v>
      </c>
      <c r="H1305" s="3">
        <v>4.1667666666666667</v>
      </c>
      <c r="I1305" s="3">
        <v>-77.54161666666667</v>
      </c>
      <c r="J1305" s="12">
        <v>21.6</v>
      </c>
      <c r="K1305" s="12">
        <v>28.1</v>
      </c>
      <c r="L1305" s="4">
        <v>29.07331066708258</v>
      </c>
      <c r="M1305" s="5">
        <v>1091</v>
      </c>
      <c r="N1305" s="5">
        <v>32</v>
      </c>
      <c r="O1305" s="5">
        <v>925.57791839724075</v>
      </c>
      <c r="P1305" s="5">
        <v>14.042409052200883</v>
      </c>
    </row>
    <row r="1306" spans="1:16">
      <c r="A1306" s="1" t="s">
        <v>1270</v>
      </c>
      <c r="B1306" s="1" t="s">
        <v>1239</v>
      </c>
      <c r="C1306" s="1">
        <v>2009</v>
      </c>
      <c r="D1306" s="1" t="s">
        <v>1711</v>
      </c>
      <c r="E1306" s="17">
        <v>40156</v>
      </c>
      <c r="F1306" s="18" t="str">
        <f t="shared" si="20"/>
        <v>PEPE2009_Diciembre</v>
      </c>
      <c r="G1306" s="1" t="s">
        <v>1409</v>
      </c>
      <c r="H1306" s="3">
        <v>4.1650499999999999</v>
      </c>
      <c r="I1306" s="3">
        <v>-77.602816666666669</v>
      </c>
      <c r="J1306" s="12">
        <v>18.2</v>
      </c>
      <c r="K1306" s="12">
        <v>27.7</v>
      </c>
      <c r="L1306" s="4">
        <v>159.31388480408089</v>
      </c>
      <c r="M1306" s="5">
        <v>42</v>
      </c>
      <c r="N1306" s="5">
        <v>367</v>
      </c>
      <c r="O1306" s="5">
        <v>42.297836415483474</v>
      </c>
      <c r="P1306" s="5">
        <v>84.595672830966947</v>
      </c>
    </row>
    <row r="1307" spans="1:16">
      <c r="A1307" s="1" t="s">
        <v>1271</v>
      </c>
      <c r="B1307" s="1" t="s">
        <v>1239</v>
      </c>
      <c r="C1307" s="1">
        <v>2009</v>
      </c>
      <c r="D1307" s="1" t="s">
        <v>1711</v>
      </c>
      <c r="E1307" s="17">
        <v>40157</v>
      </c>
      <c r="F1307" s="18" t="str">
        <f t="shared" si="20"/>
        <v>PEPE2009_Diciembre</v>
      </c>
      <c r="G1307" s="1" t="s">
        <v>1592</v>
      </c>
      <c r="H1307" s="3">
        <v>3.9687666666666668</v>
      </c>
      <c r="I1307" s="3">
        <v>-77.320400000000006</v>
      </c>
      <c r="J1307" s="12">
        <v>20.3</v>
      </c>
      <c r="K1307" s="12">
        <v>28.3</v>
      </c>
      <c r="L1307" s="4">
        <v>48.98262596053705</v>
      </c>
      <c r="M1307" s="5">
        <v>337</v>
      </c>
      <c r="N1307" s="5">
        <v>337</v>
      </c>
      <c r="O1307" s="5">
        <v>8.4161057332195472</v>
      </c>
      <c r="P1307" s="5">
        <v>92.577163065415021</v>
      </c>
    </row>
    <row r="1308" spans="1:16">
      <c r="A1308" s="1" t="s">
        <v>1272</v>
      </c>
      <c r="B1308" s="1" t="s">
        <v>1239</v>
      </c>
      <c r="C1308" s="1">
        <v>2009</v>
      </c>
      <c r="D1308" s="1" t="s">
        <v>1711</v>
      </c>
      <c r="E1308" s="17">
        <v>40157</v>
      </c>
      <c r="F1308" s="18" t="str">
        <f t="shared" si="20"/>
        <v>PEPE2009_Diciembre</v>
      </c>
      <c r="G1308" s="1" t="s">
        <v>1593</v>
      </c>
      <c r="H1308" s="3">
        <v>3.9874166666666664</v>
      </c>
      <c r="I1308" s="3">
        <v>-77.305250000000001</v>
      </c>
      <c r="J1308" s="12">
        <v>20.5</v>
      </c>
      <c r="K1308" s="12">
        <v>28.2</v>
      </c>
      <c r="L1308" s="4">
        <v>98.723468043282494</v>
      </c>
      <c r="M1308" s="5">
        <v>18</v>
      </c>
      <c r="N1308" s="5">
        <v>18</v>
      </c>
      <c r="O1308" s="5">
        <v>1.4051640284827207</v>
      </c>
      <c r="P1308" s="5">
        <v>5.6206561139308828</v>
      </c>
    </row>
    <row r="1309" spans="1:16">
      <c r="A1309" s="1" t="s">
        <v>1273</v>
      </c>
      <c r="B1309" s="1" t="s">
        <v>1239</v>
      </c>
      <c r="C1309" s="1">
        <v>2009</v>
      </c>
      <c r="D1309" s="1" t="s">
        <v>1711</v>
      </c>
      <c r="E1309" s="17">
        <v>40157</v>
      </c>
      <c r="F1309" s="18" t="str">
        <f t="shared" si="20"/>
        <v>PEPE2009_Diciembre</v>
      </c>
      <c r="G1309" s="1" t="s">
        <v>1594</v>
      </c>
      <c r="H1309" s="3">
        <v>3.9828833333333336</v>
      </c>
      <c r="I1309" s="3">
        <v>-77.284533333333329</v>
      </c>
      <c r="J1309" s="12">
        <v>19.7</v>
      </c>
      <c r="K1309" s="12">
        <v>27.4</v>
      </c>
      <c r="L1309" s="4">
        <v>82.442150178335567</v>
      </c>
      <c r="M1309" s="5">
        <v>23</v>
      </c>
      <c r="N1309" s="5">
        <v>4</v>
      </c>
      <c r="O1309" s="5">
        <v>0.5606066212126819</v>
      </c>
      <c r="P1309" s="5">
        <v>0</v>
      </c>
    </row>
    <row r="1310" spans="1:16">
      <c r="A1310" s="1" t="s">
        <v>49</v>
      </c>
      <c r="B1310" s="1" t="s">
        <v>1239</v>
      </c>
      <c r="C1310" s="1">
        <v>2009</v>
      </c>
      <c r="D1310" s="1" t="s">
        <v>1711</v>
      </c>
      <c r="E1310" s="17">
        <v>40150</v>
      </c>
      <c r="F1310" s="18" t="str">
        <f t="shared" si="20"/>
        <v>PEPE2009_Diciembre</v>
      </c>
      <c r="G1310" s="1" t="s">
        <v>1595</v>
      </c>
      <c r="H1310" s="3">
        <v>3.8175277777777774</v>
      </c>
      <c r="I1310" s="3">
        <v>-77.165805555555565</v>
      </c>
      <c r="J1310" s="12">
        <v>19.3</v>
      </c>
      <c r="K1310" s="12">
        <v>27.6</v>
      </c>
      <c r="L1310" s="4">
        <v>332.67661306531176</v>
      </c>
      <c r="M1310" s="5">
        <v>58</v>
      </c>
      <c r="N1310" s="5">
        <v>23</v>
      </c>
      <c r="O1310" s="5">
        <v>2.062595001004933</v>
      </c>
      <c r="P1310" s="5">
        <v>11.344272505527131</v>
      </c>
    </row>
    <row r="1311" spans="1:16">
      <c r="A1311" s="1" t="s">
        <v>1274</v>
      </c>
      <c r="B1311" s="1" t="s">
        <v>1239</v>
      </c>
      <c r="C1311" s="1">
        <v>2009</v>
      </c>
      <c r="D1311" s="1" t="s">
        <v>1711</v>
      </c>
      <c r="E1311" s="17">
        <v>40149</v>
      </c>
      <c r="F1311" s="18" t="str">
        <f t="shared" si="20"/>
        <v>PEPE2009_Diciembre</v>
      </c>
      <c r="G1311" s="1" t="s">
        <v>1596</v>
      </c>
      <c r="H1311" s="3">
        <v>3.8769444444444443</v>
      </c>
      <c r="I1311" s="3">
        <v>-77.110194444444446</v>
      </c>
      <c r="J1311" s="12">
        <v>11.6</v>
      </c>
      <c r="K1311" s="12">
        <v>28.1</v>
      </c>
      <c r="L1311" s="4">
        <v>203.26254268106871</v>
      </c>
      <c r="M1311" s="5">
        <v>0</v>
      </c>
      <c r="N1311" s="5">
        <v>31</v>
      </c>
      <c r="O1311" s="1">
        <v>0</v>
      </c>
      <c r="P1311" s="5">
        <v>24.565730158312014</v>
      </c>
    </row>
    <row r="1312" spans="1:16">
      <c r="A1312" s="1" t="s">
        <v>1275</v>
      </c>
      <c r="B1312" s="1" t="s">
        <v>1239</v>
      </c>
      <c r="C1312" s="1">
        <v>2009</v>
      </c>
      <c r="D1312" s="1" t="s">
        <v>1711</v>
      </c>
      <c r="E1312" s="17">
        <v>40149</v>
      </c>
      <c r="F1312" s="18" t="str">
        <f t="shared" si="20"/>
        <v>PEPE2009_Diciembre</v>
      </c>
      <c r="G1312" s="1" t="s">
        <v>1622</v>
      </c>
      <c r="H1312" s="3">
        <v>3.9062777777777775</v>
      </c>
      <c r="I1312" s="3">
        <v>-77.093277777777772</v>
      </c>
      <c r="J1312" s="12">
        <v>10.1</v>
      </c>
      <c r="K1312" s="12">
        <v>28.3</v>
      </c>
      <c r="L1312" s="4">
        <v>29.639792521689465</v>
      </c>
      <c r="M1312" s="5">
        <v>0</v>
      </c>
      <c r="N1312" s="5">
        <v>49</v>
      </c>
      <c r="O1312" s="1">
        <v>0</v>
      </c>
      <c r="P1312" s="5">
        <v>24.008231942568464</v>
      </c>
    </row>
    <row r="1313" spans="1:16">
      <c r="A1313" s="1" t="s">
        <v>1276</v>
      </c>
      <c r="B1313" s="1" t="s">
        <v>1239</v>
      </c>
      <c r="C1313" s="1">
        <v>2009</v>
      </c>
      <c r="D1313" s="1" t="s">
        <v>1711</v>
      </c>
      <c r="E1313" s="17">
        <v>40149</v>
      </c>
      <c r="F1313" s="18" t="str">
        <f t="shared" si="20"/>
        <v>PEPE2009_Diciembre</v>
      </c>
      <c r="G1313" s="1" t="s">
        <v>1597</v>
      </c>
      <c r="H1313" s="3">
        <v>3.9257222222222219</v>
      </c>
      <c r="I1313" s="3">
        <v>-77.120666666666665</v>
      </c>
      <c r="J1313" s="12">
        <v>9.9</v>
      </c>
      <c r="K1313" s="12">
        <v>28</v>
      </c>
      <c r="L1313" s="4">
        <v>320.06952422177335</v>
      </c>
      <c r="M1313" s="5">
        <v>0</v>
      </c>
      <c r="N1313" s="5">
        <v>24</v>
      </c>
      <c r="O1313" s="1">
        <v>0</v>
      </c>
      <c r="P1313" s="5">
        <v>8.7485669953951373</v>
      </c>
    </row>
    <row r="1314" spans="1:16">
      <c r="A1314" s="1" t="s">
        <v>1277</v>
      </c>
      <c r="B1314" s="1" t="s">
        <v>1239</v>
      </c>
      <c r="C1314" s="1">
        <v>2009</v>
      </c>
      <c r="D1314" s="1" t="s">
        <v>1711</v>
      </c>
      <c r="E1314" s="17">
        <v>40157</v>
      </c>
      <c r="F1314" s="18" t="str">
        <f t="shared" si="20"/>
        <v>PEPE2009_Diciembre</v>
      </c>
      <c r="G1314" s="1" t="s">
        <v>1417</v>
      </c>
      <c r="H1314" s="3">
        <v>3.8345833333333332</v>
      </c>
      <c r="I1314" s="3">
        <v>-77.322833333333335</v>
      </c>
      <c r="J1314" s="12">
        <v>19.899999999999999</v>
      </c>
      <c r="K1314" s="12">
        <v>29.1</v>
      </c>
      <c r="L1314" s="4">
        <v>108.59581484761075</v>
      </c>
      <c r="M1314" s="5">
        <v>104</v>
      </c>
      <c r="N1314" s="5">
        <v>96</v>
      </c>
      <c r="O1314" s="5">
        <v>72.976387577594423</v>
      </c>
      <c r="P1314" s="5">
        <v>39.963259863920754</v>
      </c>
    </row>
    <row r="1315" spans="1:16">
      <c r="A1315" s="1" t="s">
        <v>1278</v>
      </c>
      <c r="B1315" s="1" t="s">
        <v>1239</v>
      </c>
      <c r="C1315" s="1">
        <v>2009</v>
      </c>
      <c r="D1315" s="1" t="s">
        <v>1711</v>
      </c>
      <c r="E1315" s="17">
        <v>40157</v>
      </c>
      <c r="F1315" s="18" t="str">
        <f t="shared" si="20"/>
        <v>PEPE2009_Diciembre</v>
      </c>
      <c r="G1315" s="1" t="s">
        <v>1418</v>
      </c>
      <c r="H1315" s="3">
        <v>3.8345000000000002</v>
      </c>
      <c r="I1315" s="3">
        <v>-77.388450000000006</v>
      </c>
      <c r="J1315" s="12">
        <v>19.600000000000001</v>
      </c>
      <c r="K1315" s="12">
        <v>27.6</v>
      </c>
      <c r="L1315" s="4">
        <v>67.998428121136186</v>
      </c>
      <c r="M1315" s="5">
        <v>521</v>
      </c>
      <c r="N1315" s="5">
        <v>72</v>
      </c>
      <c r="O1315" s="5">
        <v>44.878962559949883</v>
      </c>
      <c r="P1315" s="5">
        <v>4.487896255994988</v>
      </c>
    </row>
    <row r="1316" spans="1:16">
      <c r="A1316" s="1" t="s">
        <v>1279</v>
      </c>
      <c r="B1316" s="1" t="s">
        <v>1239</v>
      </c>
      <c r="C1316" s="1">
        <v>2009</v>
      </c>
      <c r="D1316" s="1" t="s">
        <v>1711</v>
      </c>
      <c r="E1316" s="17">
        <v>40156</v>
      </c>
      <c r="F1316" s="18" t="str">
        <f t="shared" si="20"/>
        <v>PEPE2009_Diciembre</v>
      </c>
      <c r="G1316" s="1" t="s">
        <v>1419</v>
      </c>
      <c r="H1316" s="3">
        <v>3.8341666666666665</v>
      </c>
      <c r="I1316" s="3">
        <v>-77.472916666666663</v>
      </c>
      <c r="J1316" s="12">
        <v>22.4</v>
      </c>
      <c r="K1316" s="12">
        <v>28</v>
      </c>
      <c r="L1316" s="4">
        <v>145.88371199383741</v>
      </c>
      <c r="M1316" s="5">
        <v>19</v>
      </c>
      <c r="N1316" s="5">
        <v>569</v>
      </c>
      <c r="O1316" s="5">
        <v>0</v>
      </c>
      <c r="P1316" s="5">
        <v>75.85953023679545</v>
      </c>
    </row>
    <row r="1317" spans="1:16">
      <c r="A1317" s="1" t="s">
        <v>1280</v>
      </c>
      <c r="B1317" s="1" t="s">
        <v>1239</v>
      </c>
      <c r="C1317" s="1">
        <v>2009</v>
      </c>
      <c r="D1317" s="1" t="s">
        <v>1711</v>
      </c>
      <c r="E1317" s="17">
        <v>40157</v>
      </c>
      <c r="F1317" s="18" t="str">
        <f t="shared" si="20"/>
        <v>PEPE2009_Diciembre</v>
      </c>
      <c r="G1317" s="1" t="s">
        <v>1598</v>
      </c>
      <c r="H1317" s="3">
        <v>3.6586833333333333</v>
      </c>
      <c r="I1317" s="3">
        <v>-77.251850000000005</v>
      </c>
      <c r="J1317" s="12">
        <v>18.600000000000001</v>
      </c>
      <c r="K1317" s="12">
        <v>28</v>
      </c>
      <c r="L1317" s="4">
        <v>215.72236917661456</v>
      </c>
      <c r="M1317" s="5">
        <v>148</v>
      </c>
      <c r="N1317" s="5">
        <v>9</v>
      </c>
      <c r="O1317" s="5">
        <v>140.65098470315269</v>
      </c>
      <c r="P1317" s="5">
        <v>7.766005290358124</v>
      </c>
    </row>
    <row r="1318" spans="1:16">
      <c r="A1318" s="1" t="s">
        <v>1281</v>
      </c>
      <c r="B1318" s="1" t="s">
        <v>1239</v>
      </c>
      <c r="C1318" s="1">
        <v>2009</v>
      </c>
      <c r="D1318" s="1" t="s">
        <v>1711</v>
      </c>
      <c r="E1318" s="17">
        <v>40157</v>
      </c>
      <c r="F1318" s="18" t="str">
        <f t="shared" si="20"/>
        <v>PEPE2009_Diciembre</v>
      </c>
      <c r="G1318" s="1" t="s">
        <v>1555</v>
      </c>
      <c r="H1318" s="3">
        <v>3.6663000000000001</v>
      </c>
      <c r="I1318" s="3">
        <v>-77.269949999999994</v>
      </c>
      <c r="J1318" s="12">
        <v>18</v>
      </c>
      <c r="K1318" s="12">
        <v>28.6</v>
      </c>
      <c r="L1318" s="4">
        <v>138.69679382943514</v>
      </c>
      <c r="M1318" s="5">
        <v>411</v>
      </c>
      <c r="N1318" s="5">
        <v>21</v>
      </c>
      <c r="O1318" s="5">
        <v>397.84641860766436</v>
      </c>
      <c r="P1318" s="5">
        <v>11.735882554798359</v>
      </c>
    </row>
    <row r="1319" spans="1:16">
      <c r="A1319" s="1" t="s">
        <v>1282</v>
      </c>
      <c r="B1319" s="1" t="s">
        <v>1239</v>
      </c>
      <c r="C1319" s="1">
        <v>2009</v>
      </c>
      <c r="D1319" s="1" t="s">
        <v>1711</v>
      </c>
      <c r="E1319" s="17">
        <v>40157</v>
      </c>
      <c r="F1319" s="18" t="str">
        <f t="shared" si="20"/>
        <v>PEPE2009_Diciembre</v>
      </c>
      <c r="G1319" s="1" t="s">
        <v>1424</v>
      </c>
      <c r="H1319" s="3">
        <v>3.6669499999999999</v>
      </c>
      <c r="I1319" s="3">
        <v>-77.355333333333334</v>
      </c>
      <c r="J1319" s="12">
        <v>21.5</v>
      </c>
      <c r="K1319" s="12">
        <v>28.4</v>
      </c>
      <c r="L1319" s="4">
        <v>129.19701343015873</v>
      </c>
      <c r="M1319" s="5">
        <v>214</v>
      </c>
      <c r="N1319" s="5">
        <v>145</v>
      </c>
      <c r="O1319" s="5">
        <v>13.781014765883599</v>
      </c>
      <c r="P1319" s="5">
        <v>82.686088595301598</v>
      </c>
    </row>
    <row r="1320" spans="1:16">
      <c r="A1320" s="1" t="s">
        <v>1283</v>
      </c>
      <c r="B1320" s="1" t="s">
        <v>1239</v>
      </c>
      <c r="C1320" s="1">
        <v>2009</v>
      </c>
      <c r="D1320" s="1" t="s">
        <v>1711</v>
      </c>
      <c r="E1320" s="17">
        <v>40158</v>
      </c>
      <c r="F1320" s="18" t="str">
        <f t="shared" si="20"/>
        <v>PEPE2009_Diciembre</v>
      </c>
      <c r="G1320" s="1" t="s">
        <v>1599</v>
      </c>
      <c r="H1320" s="3">
        <v>3.5130333333333335</v>
      </c>
      <c r="I1320" s="3">
        <v>-77.304816666666667</v>
      </c>
      <c r="J1320" s="12">
        <v>14.1</v>
      </c>
      <c r="K1320" s="12">
        <v>27.5</v>
      </c>
      <c r="L1320" s="4">
        <v>98.930580214002674</v>
      </c>
      <c r="M1320" s="5">
        <v>0</v>
      </c>
      <c r="N1320" s="5">
        <v>3</v>
      </c>
      <c r="O1320" s="1">
        <v>0</v>
      </c>
      <c r="P1320" s="5">
        <v>3.0932294746911499</v>
      </c>
    </row>
    <row r="1321" spans="1:16">
      <c r="A1321" s="1" t="s">
        <v>1284</v>
      </c>
      <c r="B1321" s="1" t="s">
        <v>1239</v>
      </c>
      <c r="C1321" s="1">
        <v>2009</v>
      </c>
      <c r="D1321" s="1" t="s">
        <v>1711</v>
      </c>
      <c r="E1321" s="17">
        <v>40158</v>
      </c>
      <c r="F1321" s="18" t="str">
        <f t="shared" si="20"/>
        <v>PEPE2009_Diciembre</v>
      </c>
      <c r="G1321" s="1" t="s">
        <v>1600</v>
      </c>
      <c r="H1321" s="3">
        <v>3.4717166666666666</v>
      </c>
      <c r="I1321" s="3">
        <v>-77.299700000000001</v>
      </c>
      <c r="J1321" s="12">
        <v>9</v>
      </c>
      <c r="K1321" s="12">
        <v>26.7</v>
      </c>
      <c r="L1321" s="4">
        <v>142.80137891867511</v>
      </c>
      <c r="M1321" s="5">
        <v>4</v>
      </c>
      <c r="N1321" s="5">
        <v>57</v>
      </c>
      <c r="O1321" s="5">
        <v>0.64260620513403799</v>
      </c>
      <c r="P1321" s="5">
        <v>23.133823384825369</v>
      </c>
    </row>
    <row r="1322" spans="1:16">
      <c r="A1322" s="1" t="s">
        <v>1285</v>
      </c>
      <c r="B1322" s="1" t="s">
        <v>1239</v>
      </c>
      <c r="C1322" s="1">
        <v>2009</v>
      </c>
      <c r="D1322" s="1" t="s">
        <v>1711</v>
      </c>
      <c r="E1322" s="17">
        <v>40158</v>
      </c>
      <c r="F1322" s="18" t="str">
        <f t="shared" si="20"/>
        <v>PEPE2009_Diciembre</v>
      </c>
      <c r="G1322" s="1" t="s">
        <v>1427</v>
      </c>
      <c r="H1322" s="3">
        <v>3.5060333333333333</v>
      </c>
      <c r="I1322" s="3">
        <v>-77.379766666666669</v>
      </c>
      <c r="J1322" s="12">
        <v>22.2</v>
      </c>
      <c r="K1322" s="12">
        <v>27.2</v>
      </c>
      <c r="L1322" s="4">
        <v>164.8843003566711</v>
      </c>
      <c r="M1322" s="5">
        <v>552</v>
      </c>
      <c r="N1322" s="5">
        <v>21</v>
      </c>
      <c r="O1322" s="5">
        <v>13.711778417660769</v>
      </c>
      <c r="P1322" s="5">
        <v>5.8764764647117582</v>
      </c>
    </row>
    <row r="1323" spans="1:16">
      <c r="A1323" s="1" t="s">
        <v>1286</v>
      </c>
      <c r="B1323" s="1" t="s">
        <v>1239</v>
      </c>
      <c r="C1323" s="1">
        <v>2009</v>
      </c>
      <c r="D1323" s="1" t="s">
        <v>1711</v>
      </c>
      <c r="E1323" s="17">
        <v>40158</v>
      </c>
      <c r="F1323" s="18" t="str">
        <f t="shared" si="20"/>
        <v>PEPE2009_Diciembre</v>
      </c>
      <c r="G1323" s="1" t="s">
        <v>1428</v>
      </c>
      <c r="H1323" s="3">
        <v>3.5014500000000002</v>
      </c>
      <c r="I1323" s="3">
        <v>-77.448516666666663</v>
      </c>
      <c r="J1323" s="12">
        <v>22.3</v>
      </c>
      <c r="K1323" s="12">
        <v>27.5</v>
      </c>
      <c r="L1323" s="4">
        <v>112.137833308905</v>
      </c>
      <c r="M1323" s="5">
        <v>714</v>
      </c>
      <c r="N1323" s="5">
        <v>555</v>
      </c>
      <c r="O1323" s="5">
        <v>67.990938932557128</v>
      </c>
      <c r="P1323" s="5">
        <v>101.98640839883571</v>
      </c>
    </row>
    <row r="1324" spans="1:16">
      <c r="A1324" s="1" t="s">
        <v>1287</v>
      </c>
      <c r="B1324" s="1" t="s">
        <v>1239</v>
      </c>
      <c r="C1324" s="1">
        <v>2009</v>
      </c>
      <c r="D1324" s="1" t="s">
        <v>1711</v>
      </c>
      <c r="E1324" s="17">
        <v>40158</v>
      </c>
      <c r="F1324" s="18" t="str">
        <f t="shared" si="20"/>
        <v>PEPE2009_Diciembre</v>
      </c>
      <c r="G1324" s="1" t="s">
        <v>1558</v>
      </c>
      <c r="H1324" s="3">
        <v>3.3341833333333333</v>
      </c>
      <c r="I1324" s="3">
        <v>-77.508233333333337</v>
      </c>
      <c r="J1324" s="12">
        <v>22.7</v>
      </c>
      <c r="K1324" s="12">
        <v>28.2</v>
      </c>
      <c r="L1324" s="4">
        <v>22.958573467384589</v>
      </c>
      <c r="M1324" s="5">
        <v>371</v>
      </c>
      <c r="N1324" s="5">
        <v>17</v>
      </c>
      <c r="O1324" s="5">
        <v>285.1454824649166</v>
      </c>
      <c r="P1324" s="5">
        <v>8.2650864482584527</v>
      </c>
    </row>
    <row r="1325" spans="1:16">
      <c r="A1325" s="1" t="s">
        <v>1288</v>
      </c>
      <c r="B1325" s="1" t="s">
        <v>1239</v>
      </c>
      <c r="C1325" s="1">
        <v>2009</v>
      </c>
      <c r="D1325" s="1" t="s">
        <v>1711</v>
      </c>
      <c r="E1325" s="17">
        <v>40158</v>
      </c>
      <c r="F1325" s="18" t="str">
        <f t="shared" si="20"/>
        <v>PEPE2009_Diciembre</v>
      </c>
      <c r="G1325" s="1" t="s">
        <v>1559</v>
      </c>
      <c r="H1325" s="3">
        <v>3.3323999999999998</v>
      </c>
      <c r="I1325" s="3">
        <v>-77.571233333333339</v>
      </c>
      <c r="J1325" s="12">
        <v>21.6</v>
      </c>
      <c r="K1325" s="12">
        <v>28.2</v>
      </c>
      <c r="L1325" s="4">
        <v>75.21038261883244</v>
      </c>
      <c r="M1325" s="5">
        <v>189</v>
      </c>
      <c r="N1325" s="5">
        <v>807</v>
      </c>
      <c r="O1325" s="5">
        <v>54.997592290021224</v>
      </c>
      <c r="P1325" s="5">
        <v>366.65061526680813</v>
      </c>
    </row>
    <row r="1326" spans="1:16">
      <c r="A1326" s="1" t="s">
        <v>1289</v>
      </c>
      <c r="B1326" s="1" t="s">
        <v>1239</v>
      </c>
      <c r="C1326" s="1">
        <v>2009</v>
      </c>
      <c r="D1326" s="1" t="s">
        <v>1711</v>
      </c>
      <c r="E1326" s="17">
        <v>40158</v>
      </c>
      <c r="F1326" s="18" t="str">
        <f t="shared" si="20"/>
        <v>PEPE2009_Diciembre</v>
      </c>
      <c r="G1326" s="1" t="s">
        <v>1434</v>
      </c>
      <c r="H1326" s="3">
        <v>3.3347666666666669</v>
      </c>
      <c r="I1326" s="3">
        <v>-77.652699999999996</v>
      </c>
      <c r="J1326" s="12">
        <v>24</v>
      </c>
      <c r="K1326" s="12">
        <v>28.2</v>
      </c>
      <c r="L1326" s="4">
        <v>61.994184796680024</v>
      </c>
      <c r="M1326" s="5">
        <v>260</v>
      </c>
      <c r="N1326" s="5">
        <v>608</v>
      </c>
      <c r="O1326" s="5">
        <v>195.28168210954209</v>
      </c>
      <c r="P1326" s="5">
        <v>216.97964678838008</v>
      </c>
    </row>
    <row r="1327" spans="1:16">
      <c r="A1327" s="1" t="s">
        <v>1290</v>
      </c>
      <c r="B1327" s="1" t="s">
        <v>1239</v>
      </c>
      <c r="C1327" s="1">
        <v>2009</v>
      </c>
      <c r="D1327" s="1" t="s">
        <v>1711</v>
      </c>
      <c r="E1327" s="17">
        <v>40158</v>
      </c>
      <c r="F1327" s="18" t="str">
        <f t="shared" si="20"/>
        <v>PEPE2009_Diciembre</v>
      </c>
      <c r="G1327" s="1" t="s">
        <v>1437</v>
      </c>
      <c r="H1327" s="3">
        <v>3.1666666666666665</v>
      </c>
      <c r="I1327" s="3">
        <v>-77.593400000000003</v>
      </c>
      <c r="J1327" s="12">
        <v>23.5</v>
      </c>
      <c r="K1327" s="12">
        <v>28.4</v>
      </c>
      <c r="L1327" s="4">
        <v>136.16047132437328</v>
      </c>
      <c r="M1327" s="5">
        <v>1336</v>
      </c>
      <c r="N1327" s="5">
        <v>22</v>
      </c>
      <c r="O1327" s="5">
        <v>622.95684972089509</v>
      </c>
      <c r="P1327" s="5">
        <v>8.8050438123094708</v>
      </c>
    </row>
    <row r="1328" spans="1:16">
      <c r="A1328" s="1" t="s">
        <v>1291</v>
      </c>
      <c r="B1328" s="1" t="s">
        <v>1239</v>
      </c>
      <c r="C1328" s="1">
        <v>2009</v>
      </c>
      <c r="D1328" s="1" t="s">
        <v>1711</v>
      </c>
      <c r="E1328" s="17">
        <v>40158</v>
      </c>
      <c r="F1328" s="18" t="str">
        <f t="shared" si="20"/>
        <v>PEPE2009_Diciembre</v>
      </c>
      <c r="G1328" s="1" t="s">
        <v>1438</v>
      </c>
      <c r="H1328" s="3">
        <v>3.1682999999999999</v>
      </c>
      <c r="I1328" s="3">
        <v>-77.663033333333331</v>
      </c>
      <c r="J1328" s="12">
        <v>24.7</v>
      </c>
      <c r="K1328" s="12">
        <v>28.2</v>
      </c>
      <c r="L1328" s="4">
        <v>102.70917876384304</v>
      </c>
      <c r="M1328" s="5">
        <v>134</v>
      </c>
      <c r="N1328" s="5">
        <v>562</v>
      </c>
      <c r="O1328" s="5">
        <v>30.946722123192714</v>
      </c>
      <c r="P1328" s="5">
        <v>381.67623951937679</v>
      </c>
    </row>
    <row r="1329" spans="1:16">
      <c r="A1329" s="1" t="s">
        <v>1292</v>
      </c>
      <c r="B1329" s="1" t="s">
        <v>1239</v>
      </c>
      <c r="C1329" s="1">
        <v>2009</v>
      </c>
      <c r="D1329" s="1" t="s">
        <v>1711</v>
      </c>
      <c r="E1329" s="17">
        <v>40159</v>
      </c>
      <c r="F1329" s="18" t="str">
        <f t="shared" si="20"/>
        <v>PEPE2009_Diciembre</v>
      </c>
      <c r="G1329" s="1" t="s">
        <v>1439</v>
      </c>
      <c r="H1329" s="3">
        <v>3.1674333333333333</v>
      </c>
      <c r="I1329" s="3">
        <v>-77.751316666666668</v>
      </c>
      <c r="J1329" s="12">
        <v>26.1</v>
      </c>
      <c r="K1329" s="12">
        <v>27.4</v>
      </c>
      <c r="L1329" s="4">
        <v>165.02855608751685</v>
      </c>
      <c r="M1329" s="5">
        <v>0</v>
      </c>
      <c r="N1329" s="5">
        <v>170</v>
      </c>
      <c r="O1329" s="1">
        <v>0</v>
      </c>
      <c r="P1329" s="5">
        <v>0</v>
      </c>
    </row>
    <row r="1330" spans="1:16">
      <c r="A1330" s="1" t="s">
        <v>1293</v>
      </c>
      <c r="B1330" s="1" t="s">
        <v>1239</v>
      </c>
      <c r="C1330" s="1">
        <v>2009</v>
      </c>
      <c r="D1330" s="1" t="s">
        <v>1711</v>
      </c>
      <c r="E1330" s="17">
        <v>40159</v>
      </c>
      <c r="F1330" s="18" t="str">
        <f t="shared" si="20"/>
        <v>PEPE2009_Diciembre</v>
      </c>
      <c r="G1330" s="1" t="s">
        <v>1562</v>
      </c>
      <c r="H1330" s="3">
        <v>3.0025166666666667</v>
      </c>
      <c r="I1330" s="3">
        <v>-77.740616666666668</v>
      </c>
      <c r="J1330" s="12">
        <v>20</v>
      </c>
      <c r="K1330" s="12">
        <v>27.8</v>
      </c>
      <c r="L1330" s="4">
        <v>97.119494077361892</v>
      </c>
      <c r="M1330" s="5">
        <v>1780</v>
      </c>
      <c r="N1330" s="5">
        <v>8</v>
      </c>
      <c r="O1330" s="5">
        <v>1496.5754335491549</v>
      </c>
      <c r="P1330" s="5">
        <v>3.0646595908856415</v>
      </c>
    </row>
    <row r="1331" spans="1:16">
      <c r="A1331" s="1" t="s">
        <v>1294</v>
      </c>
      <c r="B1331" s="1" t="s">
        <v>1239</v>
      </c>
      <c r="C1331" s="1">
        <v>2009</v>
      </c>
      <c r="D1331" s="1" t="s">
        <v>1711</v>
      </c>
      <c r="E1331" s="17">
        <v>40159</v>
      </c>
      <c r="F1331" s="18" t="str">
        <f t="shared" si="20"/>
        <v>PEPE2009_Diciembre</v>
      </c>
      <c r="G1331" s="1" t="s">
        <v>1443</v>
      </c>
      <c r="H1331" s="3">
        <v>3.0003833333333332</v>
      </c>
      <c r="I1331" s="3">
        <v>-77.787533333333329</v>
      </c>
      <c r="J1331" s="12">
        <v>20.5</v>
      </c>
      <c r="K1331" s="12">
        <v>27.9</v>
      </c>
      <c r="L1331" s="4">
        <v>53.064789837218235</v>
      </c>
      <c r="M1331" s="5">
        <v>1966</v>
      </c>
      <c r="N1331" s="5">
        <v>115</v>
      </c>
      <c r="O1331" s="5">
        <v>528.87907204427518</v>
      </c>
      <c r="P1331" s="5">
        <v>57.486855656986428</v>
      </c>
    </row>
    <row r="1332" spans="1:16">
      <c r="A1332" s="1" t="s">
        <v>1295</v>
      </c>
      <c r="B1332" s="1" t="s">
        <v>1239</v>
      </c>
      <c r="C1332" s="1">
        <v>2009</v>
      </c>
      <c r="D1332" s="1" t="s">
        <v>1711</v>
      </c>
      <c r="E1332" s="17">
        <v>40159</v>
      </c>
      <c r="F1332" s="18" t="str">
        <f t="shared" si="20"/>
        <v>PEPE2009_Diciembre</v>
      </c>
      <c r="G1332" s="1" t="s">
        <v>1624</v>
      </c>
      <c r="H1332" s="3">
        <v>2.7894999999999999</v>
      </c>
      <c r="I1332" s="3">
        <v>-77.757933333333327</v>
      </c>
      <c r="J1332" s="12">
        <v>16.7</v>
      </c>
      <c r="K1332" s="12">
        <v>30.1</v>
      </c>
      <c r="L1332" s="4">
        <v>89.312329359863512</v>
      </c>
      <c r="M1332" s="5">
        <v>48</v>
      </c>
      <c r="N1332" s="5">
        <v>5</v>
      </c>
      <c r="O1332" s="5">
        <v>9.4313819804015875</v>
      </c>
      <c r="P1332" s="5">
        <v>1.7683841213252975</v>
      </c>
    </row>
    <row r="1333" spans="1:16">
      <c r="A1333" s="1" t="s">
        <v>1296</v>
      </c>
      <c r="B1333" s="1" t="s">
        <v>1239</v>
      </c>
      <c r="C1333" s="1">
        <v>2009</v>
      </c>
      <c r="D1333" s="1" t="s">
        <v>1711</v>
      </c>
      <c r="E1333" s="17">
        <v>40164</v>
      </c>
      <c r="F1333" s="18" t="str">
        <f t="shared" si="20"/>
        <v>PEPE2009_Diciembre</v>
      </c>
      <c r="G1333" s="1" t="s">
        <v>1519</v>
      </c>
      <c r="H1333" s="3">
        <v>2.8381111111111115</v>
      </c>
      <c r="I1333" s="3">
        <v>-77.76133333333334</v>
      </c>
      <c r="J1333" s="12">
        <v>25.5</v>
      </c>
      <c r="K1333" s="12">
        <v>28.4</v>
      </c>
      <c r="L1333" s="4">
        <v>145.88371199383741</v>
      </c>
      <c r="M1333" s="5">
        <v>169</v>
      </c>
      <c r="N1333" s="5">
        <v>20</v>
      </c>
      <c r="O1333" s="5">
        <v>139.91706817328944</v>
      </c>
      <c r="P1333" s="5">
        <v>18.118757029634605</v>
      </c>
    </row>
    <row r="1334" spans="1:16">
      <c r="A1334" s="1" t="s">
        <v>1297</v>
      </c>
      <c r="B1334" s="1" t="s">
        <v>1239</v>
      </c>
      <c r="C1334" s="1">
        <v>2009</v>
      </c>
      <c r="D1334" s="1" t="s">
        <v>1711</v>
      </c>
      <c r="E1334" s="17">
        <v>40159</v>
      </c>
      <c r="F1334" s="18" t="str">
        <f t="shared" si="20"/>
        <v>PEPE2009_Diciembre</v>
      </c>
      <c r="G1334" s="1" t="s">
        <v>1447</v>
      </c>
      <c r="H1334" s="3">
        <v>2.8342333333333336</v>
      </c>
      <c r="I1334" s="3">
        <v>-77.836366666666663</v>
      </c>
      <c r="J1334" s="12">
        <v>23.3</v>
      </c>
      <c r="K1334" s="12">
        <v>28.8</v>
      </c>
      <c r="L1334" s="4">
        <v>37.755732507612443</v>
      </c>
      <c r="M1334" s="5">
        <v>729</v>
      </c>
      <c r="N1334" s="5">
        <v>4</v>
      </c>
      <c r="O1334" s="5">
        <v>145.88815040941444</v>
      </c>
      <c r="P1334" s="5">
        <v>0</v>
      </c>
    </row>
    <row r="1335" spans="1:16">
      <c r="A1335" s="1" t="s">
        <v>1298</v>
      </c>
      <c r="B1335" s="1" t="s">
        <v>1239</v>
      </c>
      <c r="C1335" s="1">
        <v>2009</v>
      </c>
      <c r="D1335" s="1" t="s">
        <v>1711</v>
      </c>
      <c r="E1335" s="17">
        <v>40161</v>
      </c>
      <c r="F1335" s="18" t="str">
        <f t="shared" si="20"/>
        <v>PEPE2009_Diciembre</v>
      </c>
      <c r="G1335" s="1" t="s">
        <v>1626</v>
      </c>
      <c r="H1335" s="3">
        <v>2.7052166666666668</v>
      </c>
      <c r="I1335" s="3">
        <v>-77.201733333333337</v>
      </c>
      <c r="J1335" s="12">
        <v>25.7</v>
      </c>
      <c r="K1335" s="12">
        <v>27.4</v>
      </c>
      <c r="L1335" s="4">
        <v>32.035944226907567</v>
      </c>
      <c r="M1335" s="5">
        <v>269</v>
      </c>
      <c r="N1335" s="5">
        <v>17</v>
      </c>
      <c r="O1335" s="5">
        <v>187.96129196811211</v>
      </c>
      <c r="P1335" s="5">
        <v>7.7911416359839212</v>
      </c>
    </row>
    <row r="1336" spans="1:16">
      <c r="A1336" s="1" t="s">
        <v>1299</v>
      </c>
      <c r="B1336" s="1" t="s">
        <v>1239</v>
      </c>
      <c r="C1336" s="1">
        <v>2009</v>
      </c>
      <c r="D1336" s="1" t="s">
        <v>1711</v>
      </c>
      <c r="E1336" s="17">
        <v>40159</v>
      </c>
      <c r="F1336" s="18" t="str">
        <f t="shared" si="20"/>
        <v>PEPE2009_Diciembre</v>
      </c>
      <c r="G1336" s="1" t="s">
        <v>1603</v>
      </c>
      <c r="H1336" s="3">
        <v>2.7239666666666666</v>
      </c>
      <c r="I1336" s="3">
        <v>-77.955449999999999</v>
      </c>
      <c r="J1336" s="12">
        <v>24</v>
      </c>
      <c r="K1336" s="12">
        <v>28.4</v>
      </c>
      <c r="L1336" s="4">
        <v>34.802147529157153</v>
      </c>
      <c r="M1336" s="5">
        <v>239</v>
      </c>
      <c r="N1336" s="5">
        <v>10</v>
      </c>
      <c r="O1336" s="5">
        <v>23.77334697716725</v>
      </c>
      <c r="P1336" s="5">
        <v>7.2040445385355305</v>
      </c>
    </row>
    <row r="1337" spans="1:16">
      <c r="A1337" s="1" t="s">
        <v>1300</v>
      </c>
      <c r="B1337" s="1" t="s">
        <v>1239</v>
      </c>
      <c r="C1337" s="1">
        <v>2009</v>
      </c>
      <c r="D1337" s="1" t="s">
        <v>1711</v>
      </c>
      <c r="E1337" s="17">
        <v>40159</v>
      </c>
      <c r="F1337" s="18" t="str">
        <f t="shared" si="20"/>
        <v>PEPE2009_Diciembre</v>
      </c>
      <c r="G1337" s="1" t="s">
        <v>1635</v>
      </c>
      <c r="H1337" s="3">
        <v>2.7255833333333332</v>
      </c>
      <c r="I1337" s="3">
        <v>-77.817333333333337</v>
      </c>
      <c r="J1337" s="12">
        <v>17.899999999999999</v>
      </c>
      <c r="K1337" s="12">
        <v>29.4</v>
      </c>
      <c r="L1337" s="4">
        <v>26.850909552744735</v>
      </c>
      <c r="M1337" s="5">
        <v>110</v>
      </c>
      <c r="N1337" s="5">
        <v>12</v>
      </c>
      <c r="O1337" s="5">
        <v>20.255654893851808</v>
      </c>
      <c r="P1337" s="5">
        <v>4.7660364456121904</v>
      </c>
    </row>
    <row r="1338" spans="1:16">
      <c r="A1338" s="1" t="s">
        <v>1301</v>
      </c>
      <c r="B1338" s="1" t="s">
        <v>1239</v>
      </c>
      <c r="C1338" s="1">
        <v>2009</v>
      </c>
      <c r="D1338" s="1" t="s">
        <v>1711</v>
      </c>
      <c r="E1338" s="17">
        <v>40161</v>
      </c>
      <c r="F1338" s="18" t="str">
        <f t="shared" si="20"/>
        <v>PEPE2009_Diciembre</v>
      </c>
      <c r="G1338" s="1" t="s">
        <v>1692</v>
      </c>
      <c r="H1338" s="3">
        <v>2.625861111111111</v>
      </c>
      <c r="I1338" s="3">
        <v>-78.313444444444443</v>
      </c>
      <c r="J1338" s="12">
        <v>20.6</v>
      </c>
      <c r="K1338" s="12">
        <v>28</v>
      </c>
      <c r="L1338" s="4">
        <v>59.19277393557482</v>
      </c>
      <c r="M1338" s="5">
        <v>233</v>
      </c>
      <c r="N1338" s="5">
        <v>71</v>
      </c>
      <c r="O1338" s="5">
        <v>46.229556443683933</v>
      </c>
      <c r="P1338" s="5">
        <v>59.538065116865674</v>
      </c>
    </row>
    <row r="1339" spans="1:16">
      <c r="A1339" s="1" t="s">
        <v>1302</v>
      </c>
      <c r="B1339" s="1" t="s">
        <v>1239</v>
      </c>
      <c r="C1339" s="1">
        <v>2009</v>
      </c>
      <c r="D1339" s="1" t="s">
        <v>1711</v>
      </c>
      <c r="E1339" s="17">
        <v>40161</v>
      </c>
      <c r="F1339" s="18" t="str">
        <f t="shared" si="20"/>
        <v>PEPE2009_Diciembre</v>
      </c>
      <c r="G1339" s="1" t="s">
        <v>1698</v>
      </c>
      <c r="H1339" s="3">
        <v>2.6254833333333334</v>
      </c>
      <c r="I1339" s="3">
        <v>-78.314383333333339</v>
      </c>
      <c r="J1339" s="12">
        <v>5</v>
      </c>
      <c r="K1339" s="12">
        <v>26.7</v>
      </c>
      <c r="L1339" s="4">
        <v>7.1504033210019617</v>
      </c>
      <c r="M1339" s="5">
        <v>35</v>
      </c>
      <c r="N1339" s="5">
        <v>0</v>
      </c>
      <c r="O1339" s="5">
        <v>0</v>
      </c>
      <c r="P1339" s="13">
        <v>0</v>
      </c>
    </row>
    <row r="1340" spans="1:16">
      <c r="A1340" s="1" t="s">
        <v>1303</v>
      </c>
      <c r="B1340" s="1" t="s">
        <v>1239</v>
      </c>
      <c r="C1340" s="1">
        <v>2009</v>
      </c>
      <c r="D1340" s="1" t="s">
        <v>1711</v>
      </c>
      <c r="E1340" s="17">
        <v>40160</v>
      </c>
      <c r="F1340" s="18" t="str">
        <f t="shared" si="20"/>
        <v>PEPE2009_Diciembre</v>
      </c>
      <c r="G1340" s="1" t="s">
        <v>1693</v>
      </c>
      <c r="H1340" s="3">
        <v>2.6587499999999999</v>
      </c>
      <c r="I1340" s="3">
        <v>-78.124766666666673</v>
      </c>
      <c r="J1340" s="12">
        <v>21.1</v>
      </c>
      <c r="K1340" s="12">
        <v>27.9</v>
      </c>
      <c r="L1340" s="4">
        <v>60.457576797446073</v>
      </c>
      <c r="M1340" s="5">
        <v>3</v>
      </c>
      <c r="N1340" s="5">
        <v>23</v>
      </c>
      <c r="O1340" s="5">
        <v>0</v>
      </c>
      <c r="P1340" s="5">
        <v>21.662904359842784</v>
      </c>
    </row>
    <row r="1341" spans="1:16">
      <c r="A1341" s="1" t="s">
        <v>1304</v>
      </c>
      <c r="B1341" s="1" t="s">
        <v>1239</v>
      </c>
      <c r="C1341" s="1">
        <v>2009</v>
      </c>
      <c r="D1341" s="1" t="s">
        <v>1711</v>
      </c>
      <c r="E1341" s="17">
        <v>40160</v>
      </c>
      <c r="F1341" s="18" t="str">
        <f t="shared" si="20"/>
        <v>PEPE2009_Diciembre</v>
      </c>
      <c r="G1341" s="1" t="s">
        <v>1694</v>
      </c>
      <c r="H1341" s="3">
        <v>2.6208666666666667</v>
      </c>
      <c r="I1341" s="3">
        <v>-78.072699999999998</v>
      </c>
      <c r="J1341" s="12">
        <v>16</v>
      </c>
      <c r="K1341" s="12">
        <v>27.2</v>
      </c>
      <c r="L1341" s="4">
        <v>25.490221568652938</v>
      </c>
      <c r="M1341" s="5">
        <v>0</v>
      </c>
      <c r="N1341" s="5">
        <v>20</v>
      </c>
      <c r="O1341" s="1">
        <v>0</v>
      </c>
      <c r="P1341" s="5">
        <v>19.663885210103697</v>
      </c>
    </row>
    <row r="1342" spans="1:16">
      <c r="A1342" s="1" t="s">
        <v>1305</v>
      </c>
      <c r="B1342" s="1" t="s">
        <v>1239</v>
      </c>
      <c r="C1342" s="1">
        <v>2009</v>
      </c>
      <c r="D1342" s="1" t="s">
        <v>1711</v>
      </c>
      <c r="E1342" s="17">
        <v>40161</v>
      </c>
      <c r="F1342" s="18" t="str">
        <f t="shared" si="20"/>
        <v>PEPE2009_Diciembre</v>
      </c>
      <c r="G1342" s="1" t="s">
        <v>1522</v>
      </c>
      <c r="H1342" s="3">
        <v>2.676333333333333</v>
      </c>
      <c r="I1342" s="3">
        <v>-78.447861111111109</v>
      </c>
      <c r="J1342" s="12">
        <v>27.6</v>
      </c>
      <c r="K1342" s="12">
        <v>28</v>
      </c>
      <c r="L1342" s="4">
        <v>114.36599006145822</v>
      </c>
      <c r="M1342" s="5">
        <v>672</v>
      </c>
      <c r="N1342" s="5">
        <v>1003</v>
      </c>
      <c r="O1342" s="5">
        <v>160.11238608604148</v>
      </c>
      <c r="P1342" s="5">
        <v>106.74159072402766</v>
      </c>
    </row>
    <row r="1343" spans="1:16">
      <c r="A1343" s="1" t="s">
        <v>1306</v>
      </c>
      <c r="B1343" s="1" t="s">
        <v>1239</v>
      </c>
      <c r="C1343" s="1">
        <v>2009</v>
      </c>
      <c r="D1343" s="1" t="s">
        <v>1711</v>
      </c>
      <c r="E1343" s="17">
        <v>40162</v>
      </c>
      <c r="F1343" s="18" t="str">
        <f t="shared" si="20"/>
        <v>PEPE2009_Diciembre</v>
      </c>
      <c r="G1343" s="1" t="s">
        <v>1699</v>
      </c>
      <c r="H1343" s="3">
        <v>2.5060277777777777</v>
      </c>
      <c r="I1343" s="3">
        <v>-78.50533333333334</v>
      </c>
      <c r="J1343" s="12">
        <v>28.1</v>
      </c>
      <c r="K1343" s="12">
        <v>28.4</v>
      </c>
      <c r="L1343" s="4">
        <v>50.543311792077105</v>
      </c>
      <c r="M1343" s="5">
        <v>607</v>
      </c>
      <c r="N1343" s="5">
        <v>429</v>
      </c>
      <c r="O1343" s="5">
        <v>104.32139553884713</v>
      </c>
      <c r="P1343" s="5">
        <v>288.70339695634436</v>
      </c>
    </row>
    <row r="1344" spans="1:16">
      <c r="A1344" s="1" t="s">
        <v>1307</v>
      </c>
      <c r="B1344" s="1" t="s">
        <v>1239</v>
      </c>
      <c r="C1344" s="1">
        <v>2009</v>
      </c>
      <c r="D1344" s="1" t="s">
        <v>1711</v>
      </c>
      <c r="E1344" s="17">
        <v>40162</v>
      </c>
      <c r="F1344" s="18" t="str">
        <f t="shared" si="20"/>
        <v>PEPE2009_Diciembre</v>
      </c>
      <c r="G1344" s="1" t="s">
        <v>1695</v>
      </c>
      <c r="H1344" s="3">
        <v>2.5572499999999998</v>
      </c>
      <c r="I1344" s="3">
        <v>-78.470583333333337</v>
      </c>
      <c r="J1344" s="12">
        <v>27.9</v>
      </c>
      <c r="K1344" s="12">
        <v>28</v>
      </c>
      <c r="L1344" s="4">
        <v>12.893208448942705</v>
      </c>
      <c r="M1344" s="5">
        <v>219</v>
      </c>
      <c r="N1344" s="5">
        <v>10</v>
      </c>
      <c r="O1344" s="5">
        <v>6.9107597286332902</v>
      </c>
      <c r="P1344" s="5">
        <v>1.7276899321583226</v>
      </c>
    </row>
    <row r="1345" spans="1:16">
      <c r="A1345" s="1" t="s">
        <v>1308</v>
      </c>
      <c r="B1345" s="1" t="s">
        <v>1239</v>
      </c>
      <c r="C1345" s="1">
        <v>2009</v>
      </c>
      <c r="D1345" s="1" t="s">
        <v>1711</v>
      </c>
      <c r="E1345" s="17">
        <v>40161</v>
      </c>
      <c r="F1345" s="18" t="str">
        <f t="shared" si="20"/>
        <v>PEPE2009_Diciembre</v>
      </c>
      <c r="G1345" s="1" t="s">
        <v>1700</v>
      </c>
      <c r="H1345" s="3">
        <v>2.5988055555555558</v>
      </c>
      <c r="I1345" s="3">
        <v>-78.407888888888891</v>
      </c>
      <c r="J1345" s="12">
        <v>13.9</v>
      </c>
      <c r="K1345" s="12">
        <v>28.5</v>
      </c>
      <c r="L1345" s="4">
        <v>54.985847192791041</v>
      </c>
      <c r="M1345" s="5">
        <v>572</v>
      </c>
      <c r="N1345" s="5">
        <v>240</v>
      </c>
      <c r="O1345" s="5">
        <v>363.22079631352256</v>
      </c>
      <c r="P1345" s="5">
        <v>37.390376091097913</v>
      </c>
    </row>
    <row r="1346" spans="1:16">
      <c r="A1346" s="1" t="s">
        <v>1309</v>
      </c>
      <c r="B1346" s="1" t="s">
        <v>1239</v>
      </c>
      <c r="C1346" s="1">
        <v>2009</v>
      </c>
      <c r="D1346" s="1" t="s">
        <v>1711</v>
      </c>
      <c r="E1346" s="17">
        <v>40161</v>
      </c>
      <c r="F1346" s="18" t="str">
        <f t="shared" si="20"/>
        <v>PEPE2009_Diciembre</v>
      </c>
      <c r="G1346" s="1" t="s">
        <v>1456</v>
      </c>
      <c r="H1346" s="3">
        <v>2.5097222222222224</v>
      </c>
      <c r="I1346" s="3">
        <v>-78.552416666666659</v>
      </c>
      <c r="J1346" s="12">
        <v>28</v>
      </c>
      <c r="K1346" s="12">
        <v>28</v>
      </c>
      <c r="L1346" s="4">
        <v>14.169744561901425</v>
      </c>
      <c r="M1346" s="5">
        <v>30</v>
      </c>
      <c r="N1346" s="5">
        <v>21</v>
      </c>
      <c r="O1346" s="5">
        <v>2.9331371243135944</v>
      </c>
      <c r="P1346" s="5">
        <v>4.8885618738559904</v>
      </c>
    </row>
    <row r="1347" spans="1:16">
      <c r="A1347" s="1" t="s">
        <v>1310</v>
      </c>
      <c r="B1347" s="1" t="s">
        <v>1239</v>
      </c>
      <c r="C1347" s="1">
        <v>2009</v>
      </c>
      <c r="D1347" s="1" t="s">
        <v>1711</v>
      </c>
      <c r="E1347" s="17">
        <v>40162</v>
      </c>
      <c r="F1347" s="18" t="str">
        <f t="shared" ref="F1347:F1370" si="21">"PEPE"&amp;C1347&amp;"_"&amp;D1347</f>
        <v>PEPE2009_Diciembre</v>
      </c>
      <c r="G1347" s="1" t="s">
        <v>1569</v>
      </c>
      <c r="H1347" s="3">
        <v>2.3512500000000003</v>
      </c>
      <c r="I1347" s="3">
        <v>-78.661000000000001</v>
      </c>
      <c r="J1347" s="12">
        <v>28</v>
      </c>
      <c r="K1347" s="12">
        <v>28</v>
      </c>
      <c r="L1347" s="4">
        <v>63.639554523627446</v>
      </c>
      <c r="M1347" s="5">
        <v>385</v>
      </c>
      <c r="N1347" s="5">
        <v>200</v>
      </c>
      <c r="O1347" s="5">
        <v>35.638150533231368</v>
      </c>
      <c r="P1347" s="5">
        <v>106.9144515996941</v>
      </c>
    </row>
    <row r="1348" spans="1:16">
      <c r="A1348" s="1" t="s">
        <v>1311</v>
      </c>
      <c r="B1348" s="1" t="s">
        <v>1239</v>
      </c>
      <c r="C1348" s="1">
        <v>2009</v>
      </c>
      <c r="D1348" s="1" t="s">
        <v>1711</v>
      </c>
      <c r="E1348" s="17">
        <v>40162</v>
      </c>
      <c r="F1348" s="18" t="str">
        <f t="shared" si="21"/>
        <v>PEPE2009_Diciembre</v>
      </c>
      <c r="G1348" s="1" t="s">
        <v>1462</v>
      </c>
      <c r="H1348" s="3">
        <v>2.3342777777777779</v>
      </c>
      <c r="I1348" s="3">
        <v>-78.738694444444448</v>
      </c>
      <c r="J1348" s="12">
        <v>27.6</v>
      </c>
      <c r="K1348" s="12">
        <v>27.9</v>
      </c>
      <c r="L1348" s="4">
        <v>380.08984757082902</v>
      </c>
      <c r="M1348" s="5">
        <v>119</v>
      </c>
      <c r="N1348" s="5">
        <v>923</v>
      </c>
      <c r="O1348" s="5">
        <v>0</v>
      </c>
      <c r="P1348" s="5">
        <v>133.93335476267009</v>
      </c>
    </row>
    <row r="1349" spans="1:16">
      <c r="A1349" s="1" t="s">
        <v>1312</v>
      </c>
      <c r="B1349" s="1" t="s">
        <v>1239</v>
      </c>
      <c r="C1349" s="1">
        <v>2009</v>
      </c>
      <c r="D1349" s="1" t="s">
        <v>1711</v>
      </c>
      <c r="E1349" s="17">
        <v>40162</v>
      </c>
      <c r="F1349" s="18" t="str">
        <f t="shared" si="21"/>
        <v>PEPE2009_Diciembre</v>
      </c>
      <c r="G1349" s="1" t="s">
        <v>1463</v>
      </c>
      <c r="H1349" s="3">
        <v>2.3336666666666668</v>
      </c>
      <c r="I1349" s="3">
        <v>-78.816972222222219</v>
      </c>
      <c r="J1349" s="12">
        <v>29.1</v>
      </c>
      <c r="K1349" s="12">
        <v>27.4</v>
      </c>
      <c r="L1349" s="4">
        <v>376.41879300937603</v>
      </c>
      <c r="M1349" s="5">
        <v>177</v>
      </c>
      <c r="N1349" s="5">
        <v>152</v>
      </c>
      <c r="O1349" s="5">
        <v>50.502854728757939</v>
      </c>
      <c r="P1349" s="5">
        <v>0</v>
      </c>
    </row>
    <row r="1350" spans="1:16">
      <c r="A1350" s="1" t="s">
        <v>1313</v>
      </c>
      <c r="B1350" s="1" t="s">
        <v>1239</v>
      </c>
      <c r="C1350" s="1">
        <v>2009</v>
      </c>
      <c r="D1350" s="1" t="s">
        <v>1711</v>
      </c>
      <c r="E1350" s="17">
        <v>40162</v>
      </c>
      <c r="F1350" s="18" t="str">
        <f t="shared" si="21"/>
        <v>PEPE2009_Diciembre</v>
      </c>
      <c r="G1350" s="1" t="s">
        <v>1466</v>
      </c>
      <c r="H1350" s="3">
        <v>2.1637777777777778</v>
      </c>
      <c r="I1350" s="3">
        <v>-78.732777777777784</v>
      </c>
      <c r="J1350" s="12">
        <v>27.5</v>
      </c>
      <c r="K1350" s="12">
        <v>27.8</v>
      </c>
      <c r="L1350" s="4">
        <v>285.03411493945117</v>
      </c>
      <c r="M1350" s="5">
        <v>3774</v>
      </c>
      <c r="N1350" s="5">
        <v>5248</v>
      </c>
      <c r="O1350" s="5">
        <v>3256.3163217108035</v>
      </c>
      <c r="P1350" s="5">
        <v>4072.8849406107602</v>
      </c>
    </row>
    <row r="1351" spans="1:16">
      <c r="A1351" s="1" t="s">
        <v>1314</v>
      </c>
      <c r="B1351" s="1" t="s">
        <v>1239</v>
      </c>
      <c r="C1351" s="1">
        <v>2009</v>
      </c>
      <c r="D1351" s="1" t="s">
        <v>1711</v>
      </c>
      <c r="E1351" s="17">
        <v>40163</v>
      </c>
      <c r="F1351" s="18" t="str">
        <f t="shared" si="21"/>
        <v>PEPE2009_Diciembre</v>
      </c>
      <c r="G1351" s="1" t="s">
        <v>1606</v>
      </c>
      <c r="H1351" s="3">
        <v>1.8741333333333334</v>
      </c>
      <c r="I1351" s="3">
        <v>-78.583366666666663</v>
      </c>
      <c r="J1351" s="12">
        <v>25.8</v>
      </c>
      <c r="K1351" s="12">
        <v>28.5</v>
      </c>
      <c r="L1351" s="4">
        <v>258.53569025223652</v>
      </c>
      <c r="M1351" s="5">
        <v>20</v>
      </c>
      <c r="N1351" s="5">
        <v>45</v>
      </c>
      <c r="O1351" s="5">
        <v>0.84024099331976865</v>
      </c>
      <c r="P1351" s="5">
        <v>42.180097864652389</v>
      </c>
    </row>
    <row r="1352" spans="1:16">
      <c r="A1352" s="1" t="s">
        <v>1315</v>
      </c>
      <c r="B1352" s="1" t="s">
        <v>1239</v>
      </c>
      <c r="C1352" s="1">
        <v>2009</v>
      </c>
      <c r="D1352" s="1" t="s">
        <v>1711</v>
      </c>
      <c r="E1352" s="17">
        <v>40163</v>
      </c>
      <c r="F1352" s="18" t="str">
        <f t="shared" si="21"/>
        <v>PEPE2009_Diciembre</v>
      </c>
      <c r="G1352" s="1" t="s">
        <v>1627</v>
      </c>
      <c r="H1352" s="3">
        <v>1.8530555555555557</v>
      </c>
      <c r="I1352" s="3">
        <v>-78.40336111111111</v>
      </c>
      <c r="J1352" s="12">
        <v>25.6</v>
      </c>
      <c r="K1352" s="12">
        <v>28.6</v>
      </c>
      <c r="L1352" s="4">
        <v>430.68521287075424</v>
      </c>
      <c r="M1352" s="5">
        <v>10</v>
      </c>
      <c r="N1352" s="5">
        <v>30</v>
      </c>
      <c r="O1352" s="5">
        <v>0</v>
      </c>
      <c r="P1352" s="5">
        <v>25.928498177755262</v>
      </c>
    </row>
    <row r="1353" spans="1:16">
      <c r="A1353" s="1" t="s">
        <v>1316</v>
      </c>
      <c r="B1353" s="1" t="s">
        <v>1239</v>
      </c>
      <c r="C1353" s="1">
        <v>2009</v>
      </c>
      <c r="D1353" s="1" t="s">
        <v>1711</v>
      </c>
      <c r="E1353" s="17">
        <v>40163</v>
      </c>
      <c r="F1353" s="18" t="str">
        <f t="shared" si="21"/>
        <v>PEPE2009_Diciembre</v>
      </c>
      <c r="G1353" s="1" t="s">
        <v>1628</v>
      </c>
      <c r="H1353" s="3">
        <v>1.804888888888889</v>
      </c>
      <c r="I1353" s="3">
        <v>-78.600611111111107</v>
      </c>
      <c r="J1353" s="12">
        <v>26</v>
      </c>
      <c r="K1353" s="12">
        <v>28.9</v>
      </c>
      <c r="L1353" s="4">
        <v>246.27941076419575</v>
      </c>
      <c r="M1353" s="5">
        <v>1</v>
      </c>
      <c r="N1353" s="5">
        <v>0</v>
      </c>
      <c r="O1353" s="5">
        <v>0</v>
      </c>
      <c r="P1353" s="13">
        <v>553</v>
      </c>
    </row>
    <row r="1354" spans="1:16">
      <c r="A1354" s="1" t="s">
        <v>1317</v>
      </c>
      <c r="B1354" s="1" t="s">
        <v>1239</v>
      </c>
      <c r="C1354" s="1">
        <v>2009</v>
      </c>
      <c r="D1354" s="1" t="s">
        <v>1711</v>
      </c>
      <c r="E1354" s="17">
        <v>40163</v>
      </c>
      <c r="F1354" s="18" t="str">
        <f t="shared" si="21"/>
        <v>PEPE2009_Diciembre</v>
      </c>
      <c r="G1354" s="1" t="s">
        <v>1607</v>
      </c>
      <c r="H1354" s="3">
        <v>1.8497500000000002</v>
      </c>
      <c r="I1354" s="3">
        <v>-78.708833333333331</v>
      </c>
      <c r="J1354" s="12">
        <v>27.5</v>
      </c>
      <c r="K1354" s="12">
        <v>27.9</v>
      </c>
      <c r="L1354" s="4">
        <v>142.05566479636178</v>
      </c>
      <c r="M1354" s="5">
        <v>219</v>
      </c>
      <c r="N1354" s="5">
        <v>20</v>
      </c>
      <c r="O1354" s="5">
        <v>71.103038338367199</v>
      </c>
      <c r="P1354" s="5">
        <v>11.757195315793002</v>
      </c>
    </row>
    <row r="1355" spans="1:16">
      <c r="A1355" s="1" t="s">
        <v>1318</v>
      </c>
      <c r="B1355" s="1" t="s">
        <v>1239</v>
      </c>
      <c r="C1355" s="1">
        <v>2009</v>
      </c>
      <c r="D1355" s="1" t="s">
        <v>1711</v>
      </c>
      <c r="E1355" s="17">
        <v>40163</v>
      </c>
      <c r="F1355" s="18" t="str">
        <f t="shared" si="21"/>
        <v>PEPE2009_Diciembre</v>
      </c>
      <c r="G1355" s="1" t="s">
        <v>1471</v>
      </c>
      <c r="H1355" s="3">
        <v>2.1006388888888892</v>
      </c>
      <c r="I1355" s="3">
        <v>-78.691583333333341</v>
      </c>
      <c r="J1355" s="12">
        <v>27.9</v>
      </c>
      <c r="K1355" s="12">
        <v>27.6</v>
      </c>
      <c r="L1355" s="4">
        <v>68.627519607911765</v>
      </c>
      <c r="M1355" s="5">
        <v>3273</v>
      </c>
      <c r="N1355" s="5">
        <v>275</v>
      </c>
      <c r="O1355" s="5">
        <v>317.88267082384732</v>
      </c>
      <c r="P1355" s="5">
        <v>210.82374023550497</v>
      </c>
    </row>
    <row r="1356" spans="1:16">
      <c r="A1356" s="1" t="s">
        <v>1319</v>
      </c>
      <c r="B1356" s="1" t="s">
        <v>1239</v>
      </c>
      <c r="C1356" s="1">
        <v>2009</v>
      </c>
      <c r="D1356" s="1" t="s">
        <v>1711</v>
      </c>
      <c r="E1356" s="17" t="s">
        <v>1719</v>
      </c>
      <c r="F1356" s="18" t="str">
        <f t="shared" si="21"/>
        <v>PEPE2009_Diciembre</v>
      </c>
      <c r="G1356" s="1" t="s">
        <v>1472</v>
      </c>
      <c r="H1356" s="3">
        <v>2.0001944444444444</v>
      </c>
      <c r="I1356" s="3">
        <v>-78.75288888888889</v>
      </c>
      <c r="J1356" s="12">
        <v>27.9</v>
      </c>
      <c r="K1356" s="12">
        <v>27.6</v>
      </c>
      <c r="L1356" s="4">
        <v>147.3653434437748</v>
      </c>
      <c r="M1356" s="5">
        <v>537</v>
      </c>
      <c r="N1356" s="5">
        <v>943</v>
      </c>
      <c r="O1356" s="5">
        <v>186.36324530633473</v>
      </c>
      <c r="P1356" s="5">
        <v>559.08973591900428</v>
      </c>
    </row>
    <row r="1357" spans="1:16">
      <c r="A1357" s="1" t="s">
        <v>1320</v>
      </c>
      <c r="B1357" s="1" t="s">
        <v>1239</v>
      </c>
      <c r="C1357" s="1">
        <v>2009</v>
      </c>
      <c r="D1357" s="1" t="s">
        <v>1711</v>
      </c>
      <c r="E1357" s="17">
        <v>40164</v>
      </c>
      <c r="F1357" s="18" t="str">
        <f t="shared" si="21"/>
        <v>PEPE2009_Diciembre</v>
      </c>
      <c r="G1357" s="1" t="s">
        <v>1473</v>
      </c>
      <c r="H1357" s="3">
        <v>2.0009166666666665</v>
      </c>
      <c r="I1357" s="3">
        <v>-78.836416666666665</v>
      </c>
      <c r="J1357" s="12">
        <v>28.2</v>
      </c>
      <c r="K1357" s="12">
        <v>27.5</v>
      </c>
      <c r="L1357" s="4">
        <v>171.35505051601723</v>
      </c>
      <c r="M1357" s="5">
        <v>61</v>
      </c>
      <c r="N1357" s="5">
        <v>722</v>
      </c>
      <c r="O1357" s="5">
        <v>0</v>
      </c>
      <c r="P1357" s="5">
        <v>153.53412526235144</v>
      </c>
    </row>
    <row r="1358" spans="1:16">
      <c r="A1358" s="1" t="s">
        <v>1321</v>
      </c>
      <c r="B1358" s="1" t="s">
        <v>1239</v>
      </c>
      <c r="C1358" s="1">
        <v>2009</v>
      </c>
      <c r="D1358" s="1" t="s">
        <v>1711</v>
      </c>
      <c r="E1358" s="17">
        <v>40163</v>
      </c>
      <c r="F1358" s="18" t="str">
        <f t="shared" si="21"/>
        <v>PEPE2009_Diciembre</v>
      </c>
      <c r="G1358" s="1" t="s">
        <v>1477</v>
      </c>
      <c r="H1358" s="3">
        <v>1.8513000000000002</v>
      </c>
      <c r="I1358" s="3">
        <v>-78.759316666666663</v>
      </c>
      <c r="J1358" s="12">
        <v>27.4</v>
      </c>
      <c r="K1358" s="12">
        <v>27.6</v>
      </c>
      <c r="L1358" s="4">
        <v>302.71910778749748</v>
      </c>
      <c r="M1358" s="5">
        <v>91</v>
      </c>
      <c r="N1358" s="5">
        <v>64</v>
      </c>
      <c r="O1358" s="5">
        <v>91.488441464665925</v>
      </c>
      <c r="P1358" s="5">
        <v>0</v>
      </c>
    </row>
    <row r="1359" spans="1:16">
      <c r="A1359" s="1" t="s">
        <v>1322</v>
      </c>
      <c r="B1359" s="1" t="s">
        <v>1239</v>
      </c>
      <c r="C1359" s="1">
        <v>2009</v>
      </c>
      <c r="D1359" s="1" t="s">
        <v>1711</v>
      </c>
      <c r="E1359" s="17">
        <v>40163</v>
      </c>
      <c r="F1359" s="18" t="str">
        <f t="shared" si="21"/>
        <v>PEPE2009_Diciembre</v>
      </c>
      <c r="G1359" s="1" t="s">
        <v>1478</v>
      </c>
      <c r="H1359" s="3">
        <v>1.8359166666666669</v>
      </c>
      <c r="I1359" s="3">
        <v>-78.82641666666666</v>
      </c>
      <c r="J1359" s="12">
        <v>26.9</v>
      </c>
      <c r="K1359" s="12">
        <v>27.6</v>
      </c>
      <c r="L1359" s="4">
        <v>310.01620826740066</v>
      </c>
      <c r="M1359" s="5">
        <v>5498</v>
      </c>
      <c r="N1359" s="5">
        <v>245</v>
      </c>
      <c r="O1359" s="5">
        <v>912.99773334749466</v>
      </c>
      <c r="P1359" s="5">
        <v>19.634359856935369</v>
      </c>
    </row>
    <row r="1360" spans="1:16">
      <c r="A1360" s="1" t="s">
        <v>1323</v>
      </c>
      <c r="B1360" s="1" t="s">
        <v>1239</v>
      </c>
      <c r="C1360" s="1">
        <v>2009</v>
      </c>
      <c r="D1360" s="1" t="s">
        <v>1711</v>
      </c>
      <c r="E1360" s="17">
        <v>40163</v>
      </c>
      <c r="F1360" s="18" t="str">
        <f t="shared" si="21"/>
        <v>PEPE2009_Diciembre</v>
      </c>
      <c r="G1360" s="1" t="s">
        <v>1479</v>
      </c>
      <c r="H1360" s="3">
        <v>1.822111111111111</v>
      </c>
      <c r="I1360" s="3">
        <v>-78.904388888888889</v>
      </c>
      <c r="J1360" s="12">
        <v>27.8</v>
      </c>
      <c r="K1360" s="12">
        <v>27.6</v>
      </c>
      <c r="L1360" s="4">
        <v>100.54778230705317</v>
      </c>
      <c r="M1360" s="5">
        <v>213</v>
      </c>
      <c r="N1360" s="5">
        <v>656</v>
      </c>
      <c r="O1360" s="5">
        <v>0</v>
      </c>
      <c r="P1360" s="5">
        <v>289.74519268149157</v>
      </c>
    </row>
    <row r="1361" spans="1:16">
      <c r="A1361" s="1" t="s">
        <v>1324</v>
      </c>
      <c r="B1361" s="1" t="s">
        <v>1239</v>
      </c>
      <c r="C1361" s="1">
        <v>2009</v>
      </c>
      <c r="D1361" s="1" t="s">
        <v>1711</v>
      </c>
      <c r="E1361" s="17">
        <v>40163</v>
      </c>
      <c r="F1361" s="18" t="str">
        <f t="shared" si="21"/>
        <v>PEPE2009_Diciembre</v>
      </c>
      <c r="G1361" s="1" t="s">
        <v>1630</v>
      </c>
      <c r="H1361" s="3">
        <v>1.5148055555555555</v>
      </c>
      <c r="I1361" s="3">
        <v>-78.942666666666668</v>
      </c>
      <c r="J1361" s="12">
        <v>25.8</v>
      </c>
      <c r="K1361" s="12">
        <v>27.7</v>
      </c>
      <c r="L1361" s="4">
        <v>732.25015375788723</v>
      </c>
      <c r="M1361" s="5">
        <v>312</v>
      </c>
      <c r="N1361" s="5">
        <v>67</v>
      </c>
      <c r="O1361" s="5">
        <v>0</v>
      </c>
      <c r="P1361" s="5">
        <v>66.546893973516788</v>
      </c>
    </row>
    <row r="1362" spans="1:16">
      <c r="A1362" s="1" t="s">
        <v>1325</v>
      </c>
      <c r="B1362" s="1" t="s">
        <v>1239</v>
      </c>
      <c r="C1362" s="1">
        <v>2009</v>
      </c>
      <c r="D1362" s="1" t="s">
        <v>1711</v>
      </c>
      <c r="E1362" s="17">
        <v>40163</v>
      </c>
      <c r="F1362" s="18" t="str">
        <f t="shared" si="21"/>
        <v>PEPE2009_Diciembre</v>
      </c>
      <c r="G1362" s="1" t="s">
        <v>1487</v>
      </c>
      <c r="H1362" s="3">
        <v>1.5005833333333334</v>
      </c>
      <c r="I1362" s="3">
        <v>-78.965611111111116</v>
      </c>
      <c r="J1362" s="12">
        <v>25.1</v>
      </c>
      <c r="K1362" s="12">
        <v>27.7</v>
      </c>
      <c r="L1362" s="4">
        <v>310.02812738344323</v>
      </c>
      <c r="M1362" s="5">
        <v>204</v>
      </c>
      <c r="N1362" s="5">
        <v>567</v>
      </c>
      <c r="O1362" s="5">
        <v>4.1690624498141968</v>
      </c>
      <c r="P1362" s="5">
        <v>458.59686947956163</v>
      </c>
    </row>
    <row r="1363" spans="1:16">
      <c r="A1363" s="1" t="s">
        <v>1326</v>
      </c>
      <c r="B1363" s="1" t="s">
        <v>1239</v>
      </c>
      <c r="C1363" s="1">
        <v>2009</v>
      </c>
      <c r="D1363" s="1" t="s">
        <v>1711</v>
      </c>
      <c r="E1363" s="17">
        <v>40163</v>
      </c>
      <c r="F1363" s="18" t="str">
        <f t="shared" si="21"/>
        <v>PEPE2009_Diciembre</v>
      </c>
      <c r="G1363" s="1" t="s">
        <v>1488</v>
      </c>
      <c r="H1363" s="3">
        <v>1.5007222222222223</v>
      </c>
      <c r="I1363" s="3">
        <v>-78.049583333333331</v>
      </c>
      <c r="J1363" s="12">
        <v>27.9</v>
      </c>
      <c r="K1363" s="12">
        <v>27.5</v>
      </c>
      <c r="L1363" s="4">
        <v>93.011656611455493</v>
      </c>
      <c r="M1363" s="5">
        <v>296</v>
      </c>
      <c r="N1363" s="5">
        <v>900</v>
      </c>
      <c r="O1363" s="5">
        <v>193.69677489335609</v>
      </c>
      <c r="P1363" s="5">
        <v>672.24174815929462</v>
      </c>
    </row>
    <row r="1364" spans="1:16">
      <c r="A1364" s="1" t="s">
        <v>1327</v>
      </c>
      <c r="B1364" s="1" t="s">
        <v>1239</v>
      </c>
      <c r="C1364" s="1">
        <v>2009</v>
      </c>
      <c r="D1364" s="1" t="s">
        <v>1711</v>
      </c>
      <c r="E1364" s="17">
        <v>40160</v>
      </c>
      <c r="F1364" s="18" t="str">
        <f t="shared" si="21"/>
        <v>PEPE2009_Diciembre</v>
      </c>
      <c r="G1364" s="1" t="s">
        <v>1613</v>
      </c>
      <c r="H1364" s="3">
        <v>2.9536333333333333</v>
      </c>
      <c r="I1364" s="3">
        <v>-78.214883333333333</v>
      </c>
      <c r="J1364" s="12">
        <v>27.5</v>
      </c>
      <c r="K1364" s="12">
        <v>27.5</v>
      </c>
      <c r="L1364" s="4">
        <v>86.350394530635086</v>
      </c>
      <c r="M1364" s="5">
        <v>2600</v>
      </c>
      <c r="N1364" s="5">
        <v>172</v>
      </c>
      <c r="O1364" s="5">
        <v>107.45826874923479</v>
      </c>
      <c r="P1364" s="5">
        <v>10.745826874923479</v>
      </c>
    </row>
    <row r="1365" spans="1:16">
      <c r="A1365" s="1" t="s">
        <v>1328</v>
      </c>
      <c r="B1365" s="1" t="s">
        <v>1239</v>
      </c>
      <c r="C1365" s="1">
        <v>2009</v>
      </c>
      <c r="D1365" s="1" t="s">
        <v>1711</v>
      </c>
      <c r="E1365" s="17">
        <v>40160</v>
      </c>
      <c r="F1365" s="18" t="str">
        <f t="shared" si="21"/>
        <v>PEPE2009_Diciembre</v>
      </c>
      <c r="G1365" s="1" t="s">
        <v>1611</v>
      </c>
      <c r="H1365" s="3">
        <v>2.9861</v>
      </c>
      <c r="I1365" s="3">
        <v>-78.167183333333327</v>
      </c>
      <c r="J1365" s="12">
        <v>28.2</v>
      </c>
      <c r="K1365" s="12">
        <v>27</v>
      </c>
      <c r="L1365" s="4">
        <v>110.43772810774693</v>
      </c>
      <c r="M1365" s="5">
        <v>2978</v>
      </c>
      <c r="N1365" s="5">
        <v>250</v>
      </c>
      <c r="O1365" s="5">
        <v>0</v>
      </c>
      <c r="P1365" s="5">
        <v>0</v>
      </c>
    </row>
    <row r="1366" spans="1:16">
      <c r="A1366" s="1" t="s">
        <v>1329</v>
      </c>
      <c r="B1366" s="1" t="s">
        <v>1239</v>
      </c>
      <c r="C1366" s="1">
        <v>2009</v>
      </c>
      <c r="D1366" s="1" t="s">
        <v>1711</v>
      </c>
      <c r="E1366" s="17">
        <v>40160</v>
      </c>
      <c r="F1366" s="18" t="str">
        <f t="shared" si="21"/>
        <v>PEPE2009_Diciembre</v>
      </c>
      <c r="G1366" s="1" t="s">
        <v>1612</v>
      </c>
      <c r="H1366" s="3">
        <v>3.0023666666666666</v>
      </c>
      <c r="I1366" s="3">
        <v>-78.182916666666671</v>
      </c>
      <c r="J1366" s="12">
        <v>27.2</v>
      </c>
      <c r="K1366" s="12">
        <v>27.8</v>
      </c>
      <c r="L1366" s="4">
        <v>59.403084178885969</v>
      </c>
      <c r="M1366" s="5">
        <v>1086</v>
      </c>
      <c r="N1366" s="5">
        <v>145</v>
      </c>
      <c r="O1366" s="5">
        <v>54.285280003474256</v>
      </c>
      <c r="P1366" s="5">
        <v>18.09509333449142</v>
      </c>
    </row>
    <row r="1367" spans="1:16">
      <c r="A1367" s="1" t="s">
        <v>1330</v>
      </c>
      <c r="B1367" s="1" t="s">
        <v>1239</v>
      </c>
      <c r="C1367" s="1">
        <v>2009</v>
      </c>
      <c r="D1367" s="1" t="s">
        <v>1711</v>
      </c>
      <c r="E1367" s="17">
        <v>40160</v>
      </c>
      <c r="F1367" s="18" t="str">
        <f t="shared" si="21"/>
        <v>PEPE2009_Diciembre</v>
      </c>
      <c r="G1367" s="1" t="s">
        <v>1696</v>
      </c>
      <c r="H1367" s="3">
        <v>2.9555333333333333</v>
      </c>
      <c r="I1367" s="3">
        <v>-78.170299999999997</v>
      </c>
      <c r="J1367" s="12">
        <v>28</v>
      </c>
      <c r="K1367" s="12">
        <v>27.9</v>
      </c>
      <c r="L1367" s="4">
        <v>80.429200012401324</v>
      </c>
      <c r="M1367" s="5">
        <v>3006</v>
      </c>
      <c r="N1367" s="5">
        <v>317</v>
      </c>
      <c r="O1367" s="5">
        <v>18.668040634457363</v>
      </c>
      <c r="P1367" s="5">
        <v>0</v>
      </c>
    </row>
    <row r="1368" spans="1:16">
      <c r="A1368" s="1" t="s">
        <v>1331</v>
      </c>
      <c r="B1368" s="1" t="s">
        <v>1239</v>
      </c>
      <c r="C1368" s="1">
        <v>2009</v>
      </c>
      <c r="D1368" s="1" t="s">
        <v>1711</v>
      </c>
      <c r="E1368" s="17">
        <v>40160</v>
      </c>
      <c r="F1368" s="18" t="str">
        <f t="shared" si="21"/>
        <v>PEPE2009_Diciembre</v>
      </c>
      <c r="G1368" s="1" t="s">
        <v>1697</v>
      </c>
      <c r="H1368" s="3">
        <v>2.9554499999999999</v>
      </c>
      <c r="I1368" s="3">
        <v>-78.170900000000003</v>
      </c>
      <c r="J1368" s="12">
        <v>28.1</v>
      </c>
      <c r="K1368" s="12">
        <v>27.1</v>
      </c>
      <c r="L1368" s="4">
        <v>136.68669536813897</v>
      </c>
      <c r="M1368" s="5">
        <v>6069</v>
      </c>
      <c r="N1368" s="5">
        <v>853</v>
      </c>
      <c r="O1368" s="5">
        <v>0</v>
      </c>
      <c r="P1368" s="5">
        <v>56.895836946987842</v>
      </c>
    </row>
    <row r="1369" spans="1:16">
      <c r="A1369" s="1" t="s">
        <v>1332</v>
      </c>
      <c r="B1369" s="1" t="s">
        <v>1239</v>
      </c>
      <c r="C1369" s="1">
        <v>2009</v>
      </c>
      <c r="D1369" s="1" t="s">
        <v>1711</v>
      </c>
      <c r="E1369" s="17">
        <v>40160</v>
      </c>
      <c r="F1369" s="18" t="str">
        <f t="shared" si="21"/>
        <v>PEPE2009_Diciembre</v>
      </c>
      <c r="G1369" s="1" t="s">
        <v>1701</v>
      </c>
      <c r="H1369" s="3">
        <v>2.9848166666666667</v>
      </c>
      <c r="I1369" s="3">
        <v>-78.166866666666664</v>
      </c>
      <c r="J1369" s="12">
        <v>27.8</v>
      </c>
      <c r="K1369" s="12">
        <v>26.7</v>
      </c>
      <c r="L1369" s="4">
        <v>146.25733334269381</v>
      </c>
      <c r="M1369" s="5">
        <v>233</v>
      </c>
      <c r="N1369" s="5">
        <v>558</v>
      </c>
      <c r="O1369" s="5">
        <v>0</v>
      </c>
      <c r="P1369" s="5">
        <v>31.024282830268383</v>
      </c>
    </row>
    <row r="1370" spans="1:16">
      <c r="A1370" s="1" t="s">
        <v>1333</v>
      </c>
      <c r="B1370" s="1" t="s">
        <v>1239</v>
      </c>
      <c r="C1370" s="1">
        <v>2009</v>
      </c>
      <c r="D1370" s="1" t="s">
        <v>1711</v>
      </c>
      <c r="E1370" s="17">
        <v>40160</v>
      </c>
      <c r="F1370" s="18" t="str">
        <f t="shared" si="21"/>
        <v>PEPE2009_Diciembre</v>
      </c>
      <c r="G1370" s="1" t="s">
        <v>1614</v>
      </c>
      <c r="H1370" s="3">
        <v>2.9433666666666665</v>
      </c>
      <c r="I1370" s="3">
        <v>-78.225549999999998</v>
      </c>
      <c r="J1370" s="12">
        <v>27.4</v>
      </c>
      <c r="K1370" s="12">
        <v>27.2</v>
      </c>
      <c r="L1370" s="4">
        <v>38.495436654700356</v>
      </c>
      <c r="M1370" s="5">
        <v>9346</v>
      </c>
      <c r="N1370" s="5">
        <v>17</v>
      </c>
      <c r="O1370" s="5">
        <v>24.945042952245835</v>
      </c>
      <c r="P1370" s="5">
        <v>0</v>
      </c>
    </row>
    <row r="1371" spans="1:16">
      <c r="E1371" s="17"/>
      <c r="F1371" s="17"/>
    </row>
    <row r="1372" spans="1:16">
      <c r="E1372" s="17"/>
      <c r="F1372" s="17"/>
    </row>
    <row r="1373" spans="1:16">
      <c r="E1373" s="17"/>
      <c r="F1373" s="17"/>
    </row>
    <row r="1374" spans="1:16">
      <c r="E1374" s="17"/>
      <c r="F1374" s="17"/>
    </row>
    <row r="1375" spans="1:16">
      <c r="E1375" s="17"/>
      <c r="F1375" s="17"/>
    </row>
    <row r="1376" spans="1:16">
      <c r="E1376" s="17"/>
      <c r="F1376" s="17"/>
    </row>
    <row r="1377" spans="5:6">
      <c r="E1377" s="17"/>
      <c r="F1377" s="17"/>
    </row>
    <row r="1378" spans="5:6">
      <c r="E1378" s="17"/>
      <c r="F1378" s="17"/>
    </row>
    <row r="1379" spans="5:6">
      <c r="E1379" s="17"/>
      <c r="F1379" s="17"/>
    </row>
    <row r="1380" spans="5:6">
      <c r="E1380" s="17"/>
      <c r="F1380" s="17"/>
    </row>
    <row r="1381" spans="5:6">
      <c r="E1381" s="17"/>
      <c r="F1381" s="17"/>
    </row>
    <row r="1382" spans="5:6">
      <c r="E1382" s="17"/>
      <c r="F1382" s="17"/>
    </row>
    <row r="1383" spans="5:6">
      <c r="E1383" s="17"/>
      <c r="F1383" s="17"/>
    </row>
    <row r="1384" spans="5:6">
      <c r="E1384" s="17"/>
      <c r="F1384" s="17"/>
    </row>
    <row r="1385" spans="5:6">
      <c r="E1385" s="17"/>
      <c r="F1385" s="17"/>
    </row>
    <row r="1386" spans="5:6">
      <c r="E1386" s="17"/>
      <c r="F1386" s="17"/>
    </row>
    <row r="1387" spans="5:6">
      <c r="E1387" s="17"/>
      <c r="F1387" s="17"/>
    </row>
    <row r="1388" spans="5:6">
      <c r="E1388" s="17"/>
      <c r="F1388" s="17"/>
    </row>
    <row r="1389" spans="5:6">
      <c r="E1389" s="17"/>
      <c r="F1389" s="17"/>
    </row>
    <row r="1390" spans="5:6">
      <c r="E1390" s="17"/>
      <c r="F1390" s="17"/>
    </row>
    <row r="1391" spans="5:6">
      <c r="E1391" s="17"/>
      <c r="F1391" s="17"/>
    </row>
    <row r="1392" spans="5:6">
      <c r="E1392" s="17"/>
      <c r="F1392" s="17"/>
    </row>
    <row r="1393" spans="5:6">
      <c r="E1393" s="17"/>
      <c r="F1393" s="17"/>
    </row>
    <row r="1394" spans="5:6">
      <c r="E1394" s="17"/>
      <c r="F1394" s="17"/>
    </row>
    <row r="1395" spans="5:6">
      <c r="E1395" s="17"/>
      <c r="F1395" s="17"/>
    </row>
    <row r="1396" spans="5:6">
      <c r="E1396" s="17"/>
      <c r="F1396" s="17"/>
    </row>
    <row r="1397" spans="5:6">
      <c r="E1397" s="17"/>
      <c r="F1397" s="17"/>
    </row>
    <row r="1398" spans="5:6">
      <c r="E1398" s="17"/>
      <c r="F1398" s="17"/>
    </row>
    <row r="1399" spans="5:6">
      <c r="E1399" s="17"/>
      <c r="F1399" s="17"/>
    </row>
    <row r="1400" spans="5:6">
      <c r="E1400" s="17"/>
      <c r="F1400" s="17"/>
    </row>
    <row r="1401" spans="5:6">
      <c r="E1401" s="17"/>
      <c r="F1401" s="17"/>
    </row>
    <row r="1402" spans="5:6">
      <c r="E1402" s="17"/>
      <c r="F1402" s="17"/>
    </row>
    <row r="1403" spans="5:6">
      <c r="E1403" s="17"/>
      <c r="F1403" s="17"/>
    </row>
    <row r="1404" spans="5:6">
      <c r="E1404" s="17"/>
      <c r="F1404" s="17"/>
    </row>
    <row r="1405" spans="5:6">
      <c r="E1405" s="17"/>
      <c r="F1405" s="17"/>
    </row>
    <row r="1406" spans="5:6">
      <c r="E1406" s="17"/>
      <c r="F1406" s="17"/>
    </row>
    <row r="1407" spans="5:6">
      <c r="E1407" s="17"/>
      <c r="F1407" s="17"/>
    </row>
    <row r="1408" spans="5:6">
      <c r="E1408" s="17"/>
      <c r="F1408" s="17"/>
    </row>
    <row r="1409" spans="5:6">
      <c r="E1409" s="17"/>
      <c r="F1409" s="17"/>
    </row>
    <row r="1410" spans="5:6">
      <c r="E1410" s="17"/>
      <c r="F1410" s="17"/>
    </row>
    <row r="1411" spans="5:6">
      <c r="E1411" s="17"/>
      <c r="F1411" s="17"/>
    </row>
    <row r="1412" spans="5:6">
      <c r="E1412" s="17"/>
      <c r="F1412" s="17"/>
    </row>
    <row r="1413" spans="5:6">
      <c r="E1413" s="17"/>
      <c r="F1413" s="17"/>
    </row>
    <row r="1414" spans="5:6">
      <c r="E1414" s="17"/>
      <c r="F1414" s="17"/>
    </row>
    <row r="1415" spans="5:6">
      <c r="E1415" s="17"/>
      <c r="F1415" s="17"/>
    </row>
    <row r="1416" spans="5:6">
      <c r="E1416" s="17"/>
      <c r="F1416" s="17"/>
    </row>
    <row r="1417" spans="5:6">
      <c r="E1417" s="17"/>
      <c r="F1417" s="17"/>
    </row>
    <row r="1418" spans="5:6">
      <c r="E1418" s="17"/>
      <c r="F1418" s="17"/>
    </row>
    <row r="1419" spans="5:6">
      <c r="E1419" s="17"/>
      <c r="F1419" s="17"/>
    </row>
    <row r="1420" spans="5:6">
      <c r="E1420" s="17"/>
      <c r="F1420" s="17"/>
    </row>
    <row r="1421" spans="5:6">
      <c r="E1421" s="17"/>
      <c r="F1421" s="17"/>
    </row>
    <row r="1422" spans="5:6">
      <c r="E1422" s="17"/>
      <c r="F1422" s="17"/>
    </row>
    <row r="1423" spans="5:6">
      <c r="E1423" s="17"/>
      <c r="F1423" s="17"/>
    </row>
    <row r="1424" spans="5:6">
      <c r="E1424" s="17"/>
      <c r="F1424" s="17"/>
    </row>
    <row r="1425" spans="5:6">
      <c r="E1425" s="17"/>
      <c r="F1425" s="17"/>
    </row>
    <row r="1426" spans="5:6">
      <c r="E1426" s="17"/>
      <c r="F1426" s="17"/>
    </row>
    <row r="1427" spans="5:6">
      <c r="E1427" s="17"/>
      <c r="F1427" s="17"/>
    </row>
    <row r="1428" spans="5:6">
      <c r="E1428" s="17"/>
      <c r="F1428" s="17"/>
    </row>
    <row r="1429" spans="5:6">
      <c r="E1429" s="17"/>
      <c r="F1429" s="17"/>
    </row>
    <row r="1430" spans="5:6">
      <c r="E1430" s="17"/>
      <c r="F1430" s="17"/>
    </row>
    <row r="1431" spans="5:6">
      <c r="E1431" s="17"/>
      <c r="F1431" s="17"/>
    </row>
    <row r="1432" spans="5:6">
      <c r="E1432" s="17"/>
      <c r="F1432" s="17"/>
    </row>
    <row r="1433" spans="5:6">
      <c r="E1433" s="17"/>
      <c r="F1433" s="17"/>
    </row>
    <row r="1434" spans="5:6">
      <c r="E1434" s="17"/>
      <c r="F1434" s="17"/>
    </row>
    <row r="1435" spans="5:6">
      <c r="E1435" s="17"/>
      <c r="F1435" s="17"/>
    </row>
    <row r="1436" spans="5:6">
      <c r="E1436" s="17"/>
      <c r="F1436" s="17"/>
    </row>
    <row r="1437" spans="5:6">
      <c r="E1437" s="17"/>
      <c r="F1437" s="17"/>
    </row>
    <row r="1438" spans="5:6">
      <c r="E1438" s="17"/>
      <c r="F1438" s="17"/>
    </row>
    <row r="1439" spans="5:6">
      <c r="E1439" s="17"/>
      <c r="F1439" s="17"/>
    </row>
    <row r="1440" spans="5:6">
      <c r="E1440" s="17"/>
      <c r="F1440" s="17"/>
    </row>
    <row r="1441" spans="5:6">
      <c r="E1441" s="17"/>
      <c r="F1441" s="17"/>
    </row>
    <row r="1442" spans="5:6">
      <c r="E1442" s="17"/>
      <c r="F1442" s="17"/>
    </row>
    <row r="1443" spans="5:6">
      <c r="E1443" s="17"/>
      <c r="F1443" s="17"/>
    </row>
    <row r="1444" spans="5:6">
      <c r="E1444" s="17"/>
      <c r="F1444" s="17"/>
    </row>
    <row r="1445" spans="5:6">
      <c r="E1445" s="17"/>
      <c r="F1445" s="17"/>
    </row>
    <row r="1446" spans="5:6">
      <c r="E1446" s="17"/>
      <c r="F1446" s="17"/>
    </row>
    <row r="1447" spans="5:6">
      <c r="E1447" s="17"/>
      <c r="F1447" s="17"/>
    </row>
    <row r="1448" spans="5:6">
      <c r="E1448" s="17"/>
      <c r="F1448" s="17"/>
    </row>
    <row r="1449" spans="5:6">
      <c r="E1449" s="17"/>
      <c r="F1449" s="17"/>
    </row>
    <row r="1450" spans="5:6">
      <c r="E1450" s="17"/>
      <c r="F1450" s="17"/>
    </row>
    <row r="1451" spans="5:6">
      <c r="E1451" s="17"/>
      <c r="F1451" s="17"/>
    </row>
    <row r="1452" spans="5:6">
      <c r="E1452" s="17"/>
      <c r="F1452" s="17"/>
    </row>
    <row r="1453" spans="5:6">
      <c r="E1453" s="17"/>
      <c r="F1453" s="17"/>
    </row>
    <row r="1454" spans="5:6">
      <c r="E1454" s="17"/>
      <c r="F1454" s="17"/>
    </row>
    <row r="1455" spans="5:6">
      <c r="E1455" s="17"/>
      <c r="F1455" s="17"/>
    </row>
    <row r="1456" spans="5:6">
      <c r="E1456" s="17"/>
      <c r="F1456" s="17"/>
    </row>
    <row r="1457" spans="5:6">
      <c r="E1457" s="17"/>
      <c r="F1457" s="17"/>
    </row>
    <row r="1458" spans="5:6">
      <c r="E1458" s="17"/>
      <c r="F1458" s="17"/>
    </row>
    <row r="1459" spans="5:6">
      <c r="E1459" s="17"/>
      <c r="F1459" s="17"/>
    </row>
    <row r="1460" spans="5:6">
      <c r="E1460" s="17"/>
      <c r="F1460" s="17"/>
    </row>
    <row r="1461" spans="5:6">
      <c r="E1461" s="17"/>
      <c r="F1461" s="17"/>
    </row>
    <row r="1462" spans="5:6">
      <c r="E1462" s="17"/>
      <c r="F1462" s="17"/>
    </row>
    <row r="1463" spans="5:6">
      <c r="E1463" s="17"/>
      <c r="F1463" s="17"/>
    </row>
    <row r="1464" spans="5:6">
      <c r="E1464" s="17"/>
      <c r="F1464" s="17"/>
    </row>
    <row r="1465" spans="5:6">
      <c r="E1465" s="17"/>
      <c r="F1465" s="17"/>
    </row>
    <row r="1466" spans="5:6">
      <c r="E1466" s="17"/>
      <c r="F1466" s="17"/>
    </row>
    <row r="1467" spans="5:6">
      <c r="E1467" s="17"/>
      <c r="F1467" s="17"/>
    </row>
    <row r="1468" spans="5:6">
      <c r="E1468" s="17"/>
      <c r="F1468" s="17"/>
    </row>
    <row r="1469" spans="5:6">
      <c r="E1469" s="17"/>
      <c r="F1469" s="17"/>
    </row>
    <row r="1470" spans="5:6">
      <c r="E1470" s="17"/>
      <c r="F1470" s="17"/>
    </row>
    <row r="1471" spans="5:6">
      <c r="E1471" s="17"/>
      <c r="F1471" s="17"/>
    </row>
    <row r="1472" spans="5:6">
      <c r="E1472" s="17"/>
      <c r="F1472" s="17"/>
    </row>
    <row r="1473" spans="5:6">
      <c r="E1473" s="17"/>
      <c r="F1473" s="17"/>
    </row>
    <row r="1474" spans="5:6">
      <c r="E1474" s="17"/>
      <c r="F1474" s="17"/>
    </row>
    <row r="1475" spans="5:6">
      <c r="E1475" s="17"/>
      <c r="F1475" s="17"/>
    </row>
    <row r="1476" spans="5:6">
      <c r="E1476" s="17"/>
      <c r="F1476" s="17"/>
    </row>
    <row r="1477" spans="5:6">
      <c r="E1477" s="17"/>
      <c r="F1477" s="17"/>
    </row>
    <row r="1478" spans="5:6">
      <c r="E1478" s="17"/>
      <c r="F1478" s="17"/>
    </row>
    <row r="1479" spans="5:6">
      <c r="E1479" s="17"/>
      <c r="F1479" s="17"/>
    </row>
    <row r="1480" spans="5:6">
      <c r="E1480" s="17"/>
      <c r="F1480" s="17"/>
    </row>
    <row r="1481" spans="5:6">
      <c r="E1481" s="17"/>
      <c r="F1481" s="17"/>
    </row>
    <row r="1482" spans="5:6">
      <c r="E1482" s="17"/>
      <c r="F1482" s="17"/>
    </row>
    <row r="1483" spans="5:6">
      <c r="E1483" s="17"/>
      <c r="F1483" s="17"/>
    </row>
    <row r="1484" spans="5:6">
      <c r="E1484" s="17"/>
      <c r="F1484" s="17"/>
    </row>
    <row r="1485" spans="5:6">
      <c r="E1485" s="17"/>
      <c r="F1485" s="17"/>
    </row>
    <row r="1486" spans="5:6">
      <c r="E1486" s="17"/>
      <c r="F1486" s="17"/>
    </row>
    <row r="1487" spans="5:6">
      <c r="E1487" s="17"/>
      <c r="F1487" s="17"/>
    </row>
    <row r="1488" spans="5:6">
      <c r="E1488" s="17"/>
      <c r="F1488" s="17"/>
    </row>
    <row r="1489" spans="5:6">
      <c r="E1489" s="17"/>
      <c r="F1489" s="17"/>
    </row>
    <row r="1490" spans="5:6">
      <c r="E1490" s="17"/>
      <c r="F1490" s="17"/>
    </row>
    <row r="1491" spans="5:6">
      <c r="E1491" s="17"/>
      <c r="F1491" s="17"/>
    </row>
    <row r="1492" spans="5:6">
      <c r="E1492" s="17"/>
      <c r="F1492" s="17"/>
    </row>
    <row r="1493" spans="5:6">
      <c r="E1493" s="17"/>
      <c r="F1493" s="17"/>
    </row>
    <row r="1494" spans="5:6">
      <c r="E1494" s="17"/>
      <c r="F1494" s="17"/>
    </row>
    <row r="1495" spans="5:6">
      <c r="E1495" s="17"/>
      <c r="F1495" s="17"/>
    </row>
    <row r="1496" spans="5:6">
      <c r="E1496" s="17"/>
      <c r="F1496" s="17"/>
    </row>
    <row r="1497" spans="5:6">
      <c r="E1497" s="17"/>
      <c r="F1497" s="17"/>
    </row>
    <row r="1498" spans="5:6">
      <c r="E1498" s="17"/>
      <c r="F1498" s="17"/>
    </row>
    <row r="1499" spans="5:6">
      <c r="E1499" s="17"/>
      <c r="F1499" s="17"/>
    </row>
    <row r="1500" spans="5:6">
      <c r="E1500" s="17"/>
      <c r="F1500" s="17"/>
    </row>
    <row r="1501" spans="5:6">
      <c r="E1501" s="17"/>
      <c r="F1501" s="17"/>
    </row>
    <row r="1502" spans="5:6">
      <c r="E1502" s="17"/>
      <c r="F1502" s="17"/>
    </row>
    <row r="1503" spans="5:6">
      <c r="E1503" s="17"/>
      <c r="F1503" s="17"/>
    </row>
    <row r="1504" spans="5:6">
      <c r="E1504" s="17"/>
      <c r="F1504" s="17"/>
    </row>
    <row r="1505" spans="5:6">
      <c r="E1505" s="17"/>
      <c r="F1505" s="17"/>
    </row>
    <row r="1506" spans="5:6">
      <c r="E1506" s="17"/>
      <c r="F1506" s="17"/>
    </row>
    <row r="1507" spans="5:6">
      <c r="E1507" s="17"/>
      <c r="F1507" s="17"/>
    </row>
    <row r="1508" spans="5:6">
      <c r="E1508" s="17"/>
      <c r="F1508" s="17"/>
    </row>
    <row r="1509" spans="5:6">
      <c r="E1509" s="17"/>
      <c r="F1509" s="17"/>
    </row>
    <row r="1510" spans="5:6">
      <c r="E1510" s="17"/>
      <c r="F1510" s="17"/>
    </row>
    <row r="1511" spans="5:6">
      <c r="E1511" s="17"/>
      <c r="F1511" s="17"/>
    </row>
    <row r="1512" spans="5:6">
      <c r="E1512" s="17"/>
      <c r="F1512" s="17"/>
    </row>
    <row r="1513" spans="5:6">
      <c r="E1513" s="17"/>
      <c r="F1513" s="17"/>
    </row>
    <row r="1514" spans="5:6">
      <c r="E1514" s="17"/>
      <c r="F1514" s="17"/>
    </row>
    <row r="1515" spans="5:6">
      <c r="E1515" s="17"/>
      <c r="F1515" s="17"/>
    </row>
    <row r="1516" spans="5:6">
      <c r="E1516" s="17"/>
      <c r="F1516" s="17"/>
    </row>
    <row r="1517" spans="5:6">
      <c r="E1517" s="17"/>
      <c r="F1517" s="17"/>
    </row>
    <row r="1518" spans="5:6">
      <c r="E1518" s="17"/>
      <c r="F1518" s="17"/>
    </row>
    <row r="1519" spans="5:6">
      <c r="E1519" s="17"/>
      <c r="F1519" s="17"/>
    </row>
    <row r="1520" spans="5:6">
      <c r="E1520" s="17"/>
      <c r="F1520" s="17"/>
    </row>
    <row r="1521" spans="5:6">
      <c r="E1521" s="17"/>
      <c r="F1521" s="17"/>
    </row>
    <row r="1522" spans="5:6">
      <c r="E1522" s="17"/>
      <c r="F1522" s="17"/>
    </row>
    <row r="1523" spans="5:6">
      <c r="E1523" s="17"/>
      <c r="F1523" s="17"/>
    </row>
    <row r="1524" spans="5:6">
      <c r="E1524" s="17"/>
      <c r="F1524" s="17"/>
    </row>
    <row r="1525" spans="5:6">
      <c r="E1525" s="17"/>
      <c r="F1525" s="17"/>
    </row>
    <row r="1526" spans="5:6">
      <c r="E1526" s="17"/>
      <c r="F1526" s="17"/>
    </row>
    <row r="1527" spans="5:6">
      <c r="E1527" s="17"/>
      <c r="F1527" s="17"/>
    </row>
    <row r="1528" spans="5:6">
      <c r="E1528" s="17"/>
      <c r="F1528" s="17"/>
    </row>
    <row r="1529" spans="5:6">
      <c r="E1529" s="17"/>
      <c r="F1529" s="17"/>
    </row>
    <row r="1530" spans="5:6">
      <c r="E1530" s="17"/>
      <c r="F1530" s="17"/>
    </row>
    <row r="1531" spans="5:6">
      <c r="E1531" s="17"/>
      <c r="F1531" s="17"/>
    </row>
    <row r="1532" spans="5:6">
      <c r="E1532" s="17"/>
      <c r="F1532" s="17"/>
    </row>
    <row r="1533" spans="5:6">
      <c r="E1533" s="17"/>
      <c r="F1533" s="17"/>
    </row>
    <row r="1534" spans="5:6">
      <c r="E1534" s="17"/>
      <c r="F1534" s="17"/>
    </row>
    <row r="1535" spans="5:6">
      <c r="E1535" s="17"/>
      <c r="F1535" s="17"/>
    </row>
    <row r="1536" spans="5:6">
      <c r="E1536" s="17"/>
      <c r="F1536" s="17"/>
    </row>
    <row r="1537" spans="5:6">
      <c r="E1537" s="17"/>
      <c r="F1537" s="17"/>
    </row>
    <row r="1538" spans="5:6">
      <c r="E1538" s="17"/>
      <c r="F1538" s="17"/>
    </row>
    <row r="1539" spans="5:6">
      <c r="E1539" s="17"/>
      <c r="F1539" s="17"/>
    </row>
    <row r="1540" spans="5:6">
      <c r="E1540" s="17"/>
      <c r="F1540" s="17"/>
    </row>
    <row r="1541" spans="5:6">
      <c r="E1541" s="17"/>
      <c r="F1541" s="17"/>
    </row>
    <row r="1542" spans="5:6">
      <c r="E1542" s="17"/>
      <c r="F1542" s="17"/>
    </row>
    <row r="1543" spans="5:6">
      <c r="E1543" s="17"/>
      <c r="F1543" s="17"/>
    </row>
    <row r="1544" spans="5:6">
      <c r="E1544" s="17"/>
      <c r="F1544" s="17"/>
    </row>
    <row r="1545" spans="5:6">
      <c r="E1545" s="17"/>
      <c r="F1545" s="17"/>
    </row>
    <row r="1546" spans="5:6">
      <c r="E1546" s="17"/>
      <c r="F1546" s="17"/>
    </row>
    <row r="1547" spans="5:6">
      <c r="E1547" s="17"/>
      <c r="F1547" s="17"/>
    </row>
    <row r="1548" spans="5:6">
      <c r="E1548" s="17"/>
      <c r="F1548" s="17"/>
    </row>
    <row r="1549" spans="5:6">
      <c r="E1549" s="17"/>
      <c r="F1549" s="17"/>
    </row>
    <row r="1550" spans="5:6">
      <c r="E1550" s="17"/>
      <c r="F1550" s="17"/>
    </row>
    <row r="1551" spans="5:6">
      <c r="E1551" s="17"/>
      <c r="F1551" s="17"/>
    </row>
    <row r="1552" spans="5:6">
      <c r="E1552" s="17"/>
      <c r="F1552" s="17"/>
    </row>
    <row r="1553" spans="5:6">
      <c r="E1553" s="17"/>
      <c r="F1553" s="17"/>
    </row>
    <row r="1554" spans="5:6">
      <c r="E1554" s="17"/>
      <c r="F1554" s="17"/>
    </row>
    <row r="1555" spans="5:6">
      <c r="E1555" s="17"/>
      <c r="F1555" s="17"/>
    </row>
    <row r="1556" spans="5:6">
      <c r="E1556" s="17"/>
      <c r="F1556" s="17"/>
    </row>
    <row r="1557" spans="5:6">
      <c r="E1557" s="17"/>
      <c r="F1557" s="17"/>
    </row>
    <row r="1558" spans="5:6">
      <c r="E1558" s="17"/>
      <c r="F1558" s="17"/>
    </row>
    <row r="1559" spans="5:6">
      <c r="E1559" s="17"/>
      <c r="F1559" s="17"/>
    </row>
    <row r="1560" spans="5:6">
      <c r="E1560" s="17"/>
      <c r="F1560" s="17"/>
    </row>
    <row r="1561" spans="5:6">
      <c r="E1561" s="17"/>
      <c r="F1561" s="17"/>
    </row>
    <row r="1562" spans="5:6">
      <c r="E1562" s="17"/>
      <c r="F1562" s="17"/>
    </row>
    <row r="1563" spans="5:6">
      <c r="E1563" s="17"/>
      <c r="F1563" s="17"/>
    </row>
    <row r="1564" spans="5:6">
      <c r="E1564" s="17"/>
      <c r="F1564" s="17"/>
    </row>
    <row r="1565" spans="5:6">
      <c r="E1565" s="17"/>
      <c r="F1565" s="17"/>
    </row>
    <row r="1566" spans="5:6">
      <c r="E1566" s="17"/>
      <c r="F1566" s="17"/>
    </row>
    <row r="1567" spans="5:6">
      <c r="E1567" s="17"/>
      <c r="F1567" s="17"/>
    </row>
    <row r="1568" spans="5:6">
      <c r="E1568" s="17"/>
      <c r="F1568" s="17"/>
    </row>
    <row r="1569" spans="5:6">
      <c r="E1569" s="17"/>
      <c r="F1569" s="17"/>
    </row>
    <row r="1570" spans="5:6">
      <c r="E1570" s="17"/>
      <c r="F1570" s="17"/>
    </row>
    <row r="1571" spans="5:6">
      <c r="E1571" s="17"/>
      <c r="F1571" s="17"/>
    </row>
    <row r="1572" spans="5:6">
      <c r="E1572" s="17"/>
      <c r="F1572" s="17"/>
    </row>
    <row r="1573" spans="5:6">
      <c r="E1573" s="17"/>
      <c r="F1573" s="17"/>
    </row>
    <row r="1574" spans="5:6">
      <c r="E1574" s="17"/>
      <c r="F1574" s="17"/>
    </row>
    <row r="1575" spans="5:6">
      <c r="E1575" s="17"/>
      <c r="F1575" s="17"/>
    </row>
    <row r="1576" spans="5:6">
      <c r="E1576" s="17"/>
      <c r="F1576" s="17"/>
    </row>
    <row r="1577" spans="5:6">
      <c r="E1577" s="17"/>
      <c r="F1577" s="17"/>
    </row>
    <row r="1578" spans="5:6">
      <c r="E1578" s="17"/>
      <c r="F1578" s="17"/>
    </row>
    <row r="1579" spans="5:6">
      <c r="E1579" s="17"/>
      <c r="F1579" s="17"/>
    </row>
    <row r="1580" spans="5:6">
      <c r="E1580" s="17"/>
      <c r="F1580" s="17"/>
    </row>
    <row r="1581" spans="5:6">
      <c r="E1581" s="17"/>
      <c r="F1581" s="17"/>
    </row>
    <row r="1582" spans="5:6">
      <c r="E1582" s="17"/>
      <c r="F1582" s="17"/>
    </row>
    <row r="1583" spans="5:6">
      <c r="E1583" s="17"/>
      <c r="F1583" s="17"/>
    </row>
    <row r="1584" spans="5:6">
      <c r="E1584" s="17"/>
      <c r="F1584" s="17"/>
    </row>
    <row r="1585" spans="5:6">
      <c r="E1585" s="17"/>
      <c r="F1585" s="17"/>
    </row>
    <row r="1586" spans="5:6">
      <c r="E1586" s="17"/>
      <c r="F1586" s="17"/>
    </row>
    <row r="1587" spans="5:6">
      <c r="E1587" s="17"/>
      <c r="F1587" s="17"/>
    </row>
    <row r="1588" spans="5:6">
      <c r="E1588" s="17"/>
      <c r="F1588" s="17"/>
    </row>
    <row r="1589" spans="5:6">
      <c r="E1589" s="17"/>
      <c r="F1589" s="17"/>
    </row>
    <row r="1590" spans="5:6">
      <c r="E1590" s="17"/>
      <c r="F1590" s="17"/>
    </row>
    <row r="1591" spans="5:6">
      <c r="E1591" s="17"/>
      <c r="F1591" s="17"/>
    </row>
    <row r="1592" spans="5:6">
      <c r="E1592" s="17"/>
      <c r="F1592" s="17"/>
    </row>
    <row r="1593" spans="5:6">
      <c r="E1593" s="17"/>
      <c r="F1593" s="17"/>
    </row>
    <row r="1594" spans="5:6">
      <c r="E1594" s="17"/>
      <c r="F1594" s="17"/>
    </row>
    <row r="1595" spans="5:6">
      <c r="E1595" s="17"/>
      <c r="F1595" s="17"/>
    </row>
    <row r="1596" spans="5:6">
      <c r="E1596" s="17"/>
      <c r="F1596" s="17"/>
    </row>
    <row r="1597" spans="5:6">
      <c r="E1597" s="17"/>
      <c r="F1597" s="17"/>
    </row>
    <row r="1598" spans="5:6">
      <c r="E1598" s="17"/>
      <c r="F1598" s="17"/>
    </row>
    <row r="1599" spans="5:6">
      <c r="E1599" s="17"/>
      <c r="F1599" s="17"/>
    </row>
    <row r="1600" spans="5:6">
      <c r="E1600" s="17"/>
      <c r="F1600" s="17"/>
    </row>
    <row r="1601" spans="5:6">
      <c r="E1601" s="17"/>
      <c r="F1601" s="17"/>
    </row>
    <row r="1602" spans="5:6">
      <c r="E1602" s="17"/>
      <c r="F1602" s="17"/>
    </row>
    <row r="1603" spans="5:6">
      <c r="E1603" s="17"/>
      <c r="F1603" s="17"/>
    </row>
    <row r="1604" spans="5:6">
      <c r="E1604" s="17"/>
      <c r="F1604" s="17"/>
    </row>
    <row r="1605" spans="5:6">
      <c r="E1605" s="17"/>
      <c r="F1605" s="17"/>
    </row>
    <row r="1606" spans="5:6">
      <c r="E1606" s="17"/>
      <c r="F1606" s="17"/>
    </row>
    <row r="1607" spans="5:6">
      <c r="E1607" s="17"/>
      <c r="F1607" s="17"/>
    </row>
    <row r="1608" spans="5:6">
      <c r="E1608" s="17"/>
      <c r="F1608" s="17"/>
    </row>
    <row r="1609" spans="5:6">
      <c r="E1609" s="17"/>
      <c r="F1609" s="17"/>
    </row>
    <row r="1610" spans="5:6">
      <c r="E1610" s="17"/>
      <c r="F1610" s="17"/>
    </row>
    <row r="1611" spans="5:6">
      <c r="E1611" s="17"/>
      <c r="F1611" s="17"/>
    </row>
    <row r="1612" spans="5:6">
      <c r="E1612" s="17"/>
      <c r="F1612" s="17"/>
    </row>
    <row r="1613" spans="5:6">
      <c r="E1613" s="17"/>
      <c r="F1613" s="17"/>
    </row>
    <row r="1614" spans="5:6">
      <c r="E1614" s="17"/>
      <c r="F1614" s="17"/>
    </row>
    <row r="1615" spans="5:6">
      <c r="E1615" s="17"/>
      <c r="F1615" s="17"/>
    </row>
    <row r="1616" spans="5:6">
      <c r="E1616" s="17"/>
      <c r="F1616" s="17"/>
    </row>
    <row r="1617" spans="5:6">
      <c r="E1617" s="17"/>
      <c r="F1617" s="17"/>
    </row>
    <row r="1618" spans="5:6">
      <c r="E1618" s="17"/>
      <c r="F1618" s="17"/>
    </row>
    <row r="1619" spans="5:6">
      <c r="E1619" s="17"/>
      <c r="F1619" s="17"/>
    </row>
    <row r="1620" spans="5:6">
      <c r="E1620" s="17"/>
      <c r="F1620" s="17"/>
    </row>
    <row r="1621" spans="5:6">
      <c r="E1621" s="17"/>
      <c r="F1621" s="17"/>
    </row>
    <row r="1622" spans="5:6">
      <c r="E1622" s="17"/>
      <c r="F1622" s="17"/>
    </row>
    <row r="1623" spans="5:6">
      <c r="E1623" s="17"/>
      <c r="F1623" s="17"/>
    </row>
    <row r="1624" spans="5:6">
      <c r="E1624" s="17"/>
      <c r="F1624" s="17"/>
    </row>
    <row r="1625" spans="5:6">
      <c r="E1625" s="17"/>
      <c r="F1625" s="17"/>
    </row>
    <row r="1626" spans="5:6">
      <c r="E1626" s="17"/>
      <c r="F1626" s="17"/>
    </row>
    <row r="1627" spans="5:6">
      <c r="E1627" s="17"/>
      <c r="F1627" s="17"/>
    </row>
    <row r="1628" spans="5:6">
      <c r="E1628" s="17"/>
      <c r="F1628" s="17"/>
    </row>
    <row r="1629" spans="5:6">
      <c r="E1629" s="17"/>
      <c r="F1629" s="17"/>
    </row>
    <row r="1630" spans="5:6">
      <c r="E1630" s="17"/>
      <c r="F1630" s="17"/>
    </row>
    <row r="1631" spans="5:6">
      <c r="E1631" s="17"/>
      <c r="F1631" s="17"/>
    </row>
    <row r="1632" spans="5:6">
      <c r="E1632" s="17"/>
      <c r="F1632" s="17"/>
    </row>
    <row r="1633" spans="5:6">
      <c r="E1633" s="17"/>
      <c r="F1633" s="17"/>
    </row>
    <row r="1634" spans="5:6">
      <c r="E1634" s="17"/>
      <c r="F1634" s="17"/>
    </row>
    <row r="1635" spans="5:6">
      <c r="E1635" s="17"/>
      <c r="F1635" s="17"/>
    </row>
    <row r="1636" spans="5:6">
      <c r="E1636" s="17"/>
      <c r="F1636" s="17"/>
    </row>
    <row r="1637" spans="5:6">
      <c r="E1637" s="17"/>
      <c r="F1637" s="17"/>
    </row>
    <row r="1638" spans="5:6">
      <c r="E1638" s="17"/>
      <c r="F1638" s="17"/>
    </row>
    <row r="1639" spans="5:6">
      <c r="E1639" s="17"/>
      <c r="F1639" s="17"/>
    </row>
    <row r="1640" spans="5:6">
      <c r="E1640" s="17"/>
      <c r="F1640" s="17"/>
    </row>
    <row r="1641" spans="5:6">
      <c r="E1641" s="17"/>
      <c r="F1641" s="17"/>
    </row>
    <row r="1642" spans="5:6">
      <c r="E1642" s="17"/>
      <c r="F1642" s="17"/>
    </row>
    <row r="1643" spans="5:6">
      <c r="E1643" s="17"/>
      <c r="F1643" s="17"/>
    </row>
    <row r="1644" spans="5:6">
      <c r="E1644" s="17"/>
      <c r="F1644" s="17"/>
    </row>
    <row r="1645" spans="5:6">
      <c r="E1645" s="17"/>
      <c r="F1645" s="17"/>
    </row>
    <row r="1646" spans="5:6">
      <c r="E1646" s="17"/>
      <c r="F1646" s="17"/>
    </row>
    <row r="1647" spans="5:6">
      <c r="E1647" s="17"/>
      <c r="F1647" s="17"/>
    </row>
    <row r="1648" spans="5:6">
      <c r="E1648" s="17"/>
      <c r="F1648" s="17"/>
    </row>
  </sheetData>
  <autoFilter ref="A1:N1370" xr:uid="{A0C44C4A-F867-4F00-A2F8-B44EAEFED6E6}"/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ACB7-8260-4F4C-9DF5-5D62B48F91E8}">
  <dimension ref="A1:A15"/>
  <sheetViews>
    <sheetView workbookViewId="0">
      <selection activeCell="A15" sqref="A15"/>
    </sheetView>
  </sheetViews>
  <sheetFormatPr baseColWidth="10" defaultRowHeight="14.5"/>
  <cols>
    <col min="1" max="1" width="22" bestFit="1" customWidth="1"/>
  </cols>
  <sheetData>
    <row r="1" spans="1:1">
      <c r="A1" s="18" t="s">
        <v>1721</v>
      </c>
    </row>
    <row r="2" spans="1:1">
      <c r="A2" s="18" t="s">
        <v>1722</v>
      </c>
    </row>
    <row r="3" spans="1:1">
      <c r="A3" s="18" t="s">
        <v>1723</v>
      </c>
    </row>
    <row r="4" spans="1:1">
      <c r="A4" s="18" t="s">
        <v>1724</v>
      </c>
    </row>
    <row r="5" spans="1:1">
      <c r="A5" s="18" t="s">
        <v>1725</v>
      </c>
    </row>
    <row r="6" spans="1:1">
      <c r="A6" s="18" t="s">
        <v>1726</v>
      </c>
    </row>
    <row r="7" spans="1:1">
      <c r="A7" s="18" t="s">
        <v>1727</v>
      </c>
    </row>
    <row r="8" spans="1:1">
      <c r="A8" s="18" t="s">
        <v>1728</v>
      </c>
    </row>
    <row r="9" spans="1:1">
      <c r="A9" s="18" t="s">
        <v>1729</v>
      </c>
    </row>
    <row r="10" spans="1:1">
      <c r="A10" s="18" t="s">
        <v>1730</v>
      </c>
    </row>
    <row r="11" spans="1:1">
      <c r="A11" s="18" t="s">
        <v>1731</v>
      </c>
    </row>
    <row r="12" spans="1:1">
      <c r="A12" s="18" t="s">
        <v>1732</v>
      </c>
    </row>
    <row r="13" spans="1:1">
      <c r="A13" s="18" t="s">
        <v>1733</v>
      </c>
    </row>
    <row r="14" spans="1:1">
      <c r="A14" s="18" t="s">
        <v>1734</v>
      </c>
    </row>
    <row r="15" spans="1:1">
      <c r="A15" s="18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300 PELAGDEMER 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Susana Beltrán León</dc:creator>
  <cp:lastModifiedBy>Christian Bermúdez Rivas</cp:lastModifiedBy>
  <dcterms:created xsi:type="dcterms:W3CDTF">2024-01-23T14:53:45Z</dcterms:created>
  <dcterms:modified xsi:type="dcterms:W3CDTF">2025-10-14T19:30:48Z</dcterms:modified>
</cp:coreProperties>
</file>